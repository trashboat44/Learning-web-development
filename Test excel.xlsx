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5"/>
  <workbookPr/>
  <mc:AlternateContent xmlns:mc="http://schemas.openxmlformats.org/markup-compatibility/2006">
    <mc:Choice Requires="x15">
      <x15ac:absPath xmlns:x15ac="http://schemas.microsoft.com/office/spreadsheetml/2010/11/ac" url="C:\Users\avelarde2\Desktop\BACK-UP\NIC_EMPLOYEES DATA\STC Roster\STC Excel Exam Talent Mobility Info\"/>
    </mc:Choice>
  </mc:AlternateContent>
  <xr:revisionPtr revIDLastSave="0" documentId="8_{5B7EA9DB-BE5B-4E12-929C-16B8A06D8841}" xr6:coauthVersionLast="47" xr6:coauthVersionMax="47" xr10:uidLastSave="{00000000-0000-0000-0000-000000000000}"/>
  <bookViews>
    <workbookView xWindow="-110" yWindow="-110" windowWidth="18490" windowHeight="11020" firstSheet="3" activeTab="3" xr2:uid="{00000000-000D-0000-FFFF-FFFF00000000}"/>
  </bookViews>
  <sheets>
    <sheet name="Part 1" sheetId="4" r:id="rId1"/>
    <sheet name="Part 2" sheetId="5" r:id="rId2"/>
    <sheet name="Part 3" sheetId="7" r:id="rId3"/>
    <sheet name="Part 4" sheetId="10" r:id="rId4"/>
    <sheet name="Scores" sheetId="11" state="hidden" r:id="rId5"/>
    <sheet name="Roster" sheetId="1" r:id="rId6"/>
    <sheet name="Calls" sheetId="2" r:id="rId7"/>
    <sheet name="Courses" sheetId="6" r:id="rId8"/>
  </sheets>
  <definedNames>
    <definedName name="_xlnm._FilterDatabase" localSheetId="6" hidden="1">Calls!$B$1:$M$61</definedName>
    <definedName name="_xlnm._FilterDatabase" localSheetId="5" hidden="1">Roster!$A$1:$M$25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1" l="1"/>
  <c r="G9" i="11" s="1"/>
  <c r="K3" i="11"/>
  <c r="J3" i="11"/>
  <c r="I3" i="11"/>
  <c r="E24" i="11" l="1"/>
  <c r="G24" i="11" s="1"/>
  <c r="E23" i="11"/>
  <c r="G23" i="11" s="1"/>
  <c r="E22" i="11"/>
  <c r="G22" i="11" s="1"/>
  <c r="E21" i="11"/>
  <c r="G21" i="11" s="1"/>
  <c r="E20" i="11"/>
  <c r="G20" i="11" s="1"/>
  <c r="E19" i="11"/>
  <c r="G19" i="11" s="1"/>
  <c r="E17" i="11"/>
  <c r="G17" i="11" s="1"/>
  <c r="E16" i="11"/>
  <c r="G16" i="11" s="1"/>
  <c r="E15" i="11"/>
  <c r="G15" i="11" s="1"/>
  <c r="E14" i="11"/>
  <c r="G14" i="11" s="1"/>
  <c r="E13" i="11"/>
  <c r="G13" i="11" s="1"/>
  <c r="E12" i="11"/>
  <c r="G12" i="11" s="1"/>
  <c r="E11" i="11"/>
  <c r="G11" i="11" s="1"/>
  <c r="E10" i="11"/>
  <c r="G10" i="11" s="1"/>
  <c r="E8" i="11"/>
  <c r="G8" i="11" s="1"/>
  <c r="E7" i="11"/>
  <c r="G7" i="11" s="1"/>
  <c r="E6" i="11"/>
  <c r="G6" i="11" s="1"/>
  <c r="E5" i="11"/>
  <c r="G5" i="11" s="1"/>
  <c r="E4" i="11"/>
  <c r="G4" i="11" s="1"/>
  <c r="G25" i="11" l="1"/>
  <c r="G18" i="11"/>
  <c r="G26" i="11" l="1"/>
</calcChain>
</file>

<file path=xl/sharedStrings.xml><?xml version="1.0" encoding="utf-8"?>
<sst xmlns="http://schemas.openxmlformats.org/spreadsheetml/2006/main" count="1308" uniqueCount="236">
  <si>
    <t>Excel - Lookup Functions</t>
  </si>
  <si>
    <t>1. Look for the following agent data in the Roster tab using the VLOOKUP function:</t>
  </si>
  <si>
    <t>EID</t>
  </si>
  <si>
    <t>Name</t>
  </si>
  <si>
    <t>Channel</t>
  </si>
  <si>
    <t>2. In the Courses tab, look for the completion rate with a VLOOKUP function using the EID and Training Name from the chart below:</t>
  </si>
  <si>
    <t>Training Name</t>
  </si>
  <si>
    <t>Completion Status</t>
  </si>
  <si>
    <t>2022 - Fraud &amp; Ethics Hotline</t>
  </si>
  <si>
    <t>2022 - Password Management</t>
  </si>
  <si>
    <t>2022 - Phishing Awareness</t>
  </si>
  <si>
    <t>2022 - Ibex Integrity Training</t>
  </si>
  <si>
    <t>3. Look for the following agent data in the Roster tab using the Name and a single combination of INDEX, MATCH, MATCH functions:</t>
  </si>
  <si>
    <t>Role</t>
  </si>
  <si>
    <t>Skill</t>
  </si>
  <si>
    <t>Rojas, Alberto</t>
  </si>
  <si>
    <t>Medina, Eliana</t>
  </si>
  <si>
    <t>Lopez, Juan</t>
  </si>
  <si>
    <t>Len, Taisha</t>
  </si>
  <si>
    <t>Alcorta, Matthew</t>
  </si>
  <si>
    <t>Excel - Conditional Formatting</t>
  </si>
  <si>
    <t>Hire Date</t>
  </si>
  <si>
    <t>Status</t>
  </si>
  <si>
    <t>Email</t>
  </si>
  <si>
    <t>Gutierrez, Hazel</t>
  </si>
  <si>
    <t>Active</t>
  </si>
  <si>
    <t>hazel.gutierrez@exceltest.com</t>
  </si>
  <si>
    <t>Lopez, Jose</t>
  </si>
  <si>
    <t>Pending</t>
  </si>
  <si>
    <t>alberto.rojas@exceltest.com</t>
  </si>
  <si>
    <t>Rizo, Marlon</t>
  </si>
  <si>
    <t>Training</t>
  </si>
  <si>
    <t>marlon.rizo@exceltest.com</t>
  </si>
  <si>
    <t>Vallecillo, Cindy</t>
  </si>
  <si>
    <t>Nesting</t>
  </si>
  <si>
    <t>cindy.vallecillo@exceltest.com</t>
  </si>
  <si>
    <t>Sanchez, Jimmy</t>
  </si>
  <si>
    <t>Mantilla, Daniel</t>
  </si>
  <si>
    <t>daniel.mantilla@exceltest.com</t>
  </si>
  <si>
    <t>Valle, Roberto</t>
  </si>
  <si>
    <t>roberto.valle@exceltest.com</t>
  </si>
  <si>
    <t>Velasquez, Sander</t>
  </si>
  <si>
    <t>sander.velasquez@exceltest.com</t>
  </si>
  <si>
    <t>Omeir, Nevil</t>
  </si>
  <si>
    <t>nevil.omeir@exceltest.com</t>
  </si>
  <si>
    <t>Flores, Jason</t>
  </si>
  <si>
    <t>jason.flores@exceltest.com</t>
  </si>
  <si>
    <t>eliana.medina@exceltest.com</t>
  </si>
  <si>
    <t>Sambola, Heecliff</t>
  </si>
  <si>
    <t>Mercado, Jorge</t>
  </si>
  <si>
    <t>jorge.mercado@exceltest.com</t>
  </si>
  <si>
    <t>Castro, Kenia</t>
  </si>
  <si>
    <t>kenia.castro@exceltest.com</t>
  </si>
  <si>
    <t>Garcia, Luis1</t>
  </si>
  <si>
    <t>luis.menocal@exceltest.com</t>
  </si>
  <si>
    <t>Valdivia, David</t>
  </si>
  <si>
    <t>david.valdivia@exceltest.com</t>
  </si>
  <si>
    <t>matthew.alcorta@exceltest.com</t>
  </si>
  <si>
    <t>Excel - Pivot Tables</t>
  </si>
  <si>
    <t>Excel - Miscelaneous Functions</t>
  </si>
  <si>
    <r>
      <t xml:space="preserve">1. Extract the following data from the text below using text string fuctions at your best convenience (Right, Mid, Left, Len, Trim) and convert it to the requested </t>
    </r>
    <r>
      <rPr>
        <b/>
        <u/>
        <sz val="11"/>
        <color theme="1"/>
        <rFont val="Calibri"/>
        <family val="2"/>
        <scheme val="minor"/>
      </rPr>
      <t>time format</t>
    </r>
    <r>
      <rPr>
        <sz val="11"/>
        <color theme="1"/>
        <rFont val="Calibri"/>
        <family val="2"/>
        <scheme val="minor"/>
      </rPr>
      <t>:</t>
    </r>
  </si>
  <si>
    <t>Text</t>
  </si>
  <si>
    <t>Date (mm/dd/yy)</t>
  </si>
  <si>
    <t>Time (hh:mm AM/PM)</t>
  </si>
  <si>
    <t>Tue, 14 Jun 2022 12:41:10</t>
  </si>
  <si>
    <t>2. Using IF functions, classify the agents by Tier in column D using the information in the chart at the right:</t>
  </si>
  <si>
    <t>Score</t>
  </si>
  <si>
    <t>Tier</t>
  </si>
  <si>
    <t>Higher or equal than 4</t>
  </si>
  <si>
    <t>Top</t>
  </si>
  <si>
    <t>Between 3 and 4</t>
  </si>
  <si>
    <t>Mid</t>
  </si>
  <si>
    <t>Lower or equal than 3</t>
  </si>
  <si>
    <t>Bottom</t>
  </si>
  <si>
    <t>3. Using SUMIFS, extract the amount of Handled Contacts per agent Name and Date from the Calls tab:</t>
  </si>
  <si>
    <t>Date</t>
  </si>
  <si>
    <t>Handled Contacts</t>
  </si>
  <si>
    <t>Cruz, Reyna</t>
  </si>
  <si>
    <t>Castillo, Hayahser</t>
  </si>
  <si>
    <t>Estrada, David</t>
  </si>
  <si>
    <t>Mendoza, Joel</t>
  </si>
  <si>
    <t>4. Using COUNTIFS, extract the amount of Pending agents per campaign and training from the Courses tab:</t>
  </si>
  <si>
    <t>Campaign</t>
  </si>
  <si>
    <t>Pending Agents</t>
  </si>
  <si>
    <t>Southern Union</t>
  </si>
  <si>
    <t>Northern Union</t>
  </si>
  <si>
    <t>Eastern Union</t>
  </si>
  <si>
    <t>2022 - Insider Trading</t>
  </si>
  <si>
    <t>SCORECARD</t>
  </si>
  <si>
    <t>WFM</t>
  </si>
  <si>
    <t>Logical</t>
  </si>
  <si>
    <t>Excel</t>
  </si>
  <si>
    <t>Activity</t>
  </si>
  <si>
    <t>Part</t>
  </si>
  <si>
    <t>Exercise</t>
  </si>
  <si>
    <t>Score %</t>
  </si>
  <si>
    <t>Result</t>
  </si>
  <si>
    <t>Excel Test</t>
  </si>
  <si>
    <t>Excel Test Total</t>
  </si>
  <si>
    <t>Profficiency Test</t>
  </si>
  <si>
    <t>Profficiency Test Total</t>
  </si>
  <si>
    <t>Total</t>
  </si>
  <si>
    <t>Location</t>
  </si>
  <si>
    <t>Wave</t>
  </si>
  <si>
    <t>Supervisor</t>
  </si>
  <si>
    <t>Manager</t>
  </si>
  <si>
    <t>Managua</t>
  </si>
  <si>
    <t>POS Chat</t>
  </si>
  <si>
    <t>Chat</t>
  </si>
  <si>
    <t>Specialist</t>
  </si>
  <si>
    <t>Agent</t>
  </si>
  <si>
    <t>Wave 02</t>
  </si>
  <si>
    <t>Galo, Sofia</t>
  </si>
  <si>
    <t>Canton, Carlos</t>
  </si>
  <si>
    <t>POS Hardware</t>
  </si>
  <si>
    <t>Voice</t>
  </si>
  <si>
    <t>Expert</t>
  </si>
  <si>
    <t>jose.lopez@exceltest.com</t>
  </si>
  <si>
    <t>Alvarez, Yasser</t>
  </si>
  <si>
    <t>Prado, Donald</t>
  </si>
  <si>
    <t>Wave 04</t>
  </si>
  <si>
    <t>POS Payments</t>
  </si>
  <si>
    <t>Wave 16 A</t>
  </si>
  <si>
    <t>Romero, Enmanuel</t>
  </si>
  <si>
    <t>Cano, Oliver</t>
  </si>
  <si>
    <t>POS Kitchen</t>
  </si>
  <si>
    <t>Back Office</t>
  </si>
  <si>
    <t>Oregon, Justina</t>
  </si>
  <si>
    <t>POS Networking</t>
  </si>
  <si>
    <t>jimmy.sanchez@exceltest.com</t>
  </si>
  <si>
    <t>Wave 20</t>
  </si>
  <si>
    <t>Garcia, Sharon</t>
  </si>
  <si>
    <t>SME</t>
  </si>
  <si>
    <t>Wave 25</t>
  </si>
  <si>
    <t>Woo, Emmanuel</t>
  </si>
  <si>
    <t>Paramo, Odalys</t>
  </si>
  <si>
    <t>Wave 30 A</t>
  </si>
  <si>
    <t>Mora, Carlos</t>
  </si>
  <si>
    <t>Herdocia, Marco</t>
  </si>
  <si>
    <t>Wave 31</t>
  </si>
  <si>
    <t>Wave 32</t>
  </si>
  <si>
    <t>Aguado, Sebastian</t>
  </si>
  <si>
    <t>Guzman, Erwin</t>
  </si>
  <si>
    <t>juan.lopez@exceltest.com</t>
  </si>
  <si>
    <t>Wave 33 A</t>
  </si>
  <si>
    <t>Perez, Heber</t>
  </si>
  <si>
    <t>heecliff.sambola@exceltest.com</t>
  </si>
  <si>
    <t>Ocampo, Asdrubal</t>
  </si>
  <si>
    <t>Wave 34 A</t>
  </si>
  <si>
    <t>Garcia, Luis</t>
  </si>
  <si>
    <t>Wave 35 A</t>
  </si>
  <si>
    <t>Wave 38</t>
  </si>
  <si>
    <t>Torres, Josmar</t>
  </si>
  <si>
    <t>Rodriguez, Luis</t>
  </si>
  <si>
    <t>taisha.len@exceltest.com</t>
  </si>
  <si>
    <t>Wave 45</t>
  </si>
  <si>
    <t>Perez, Ashley</t>
  </si>
  <si>
    <t>Siles, Valentina</t>
  </si>
  <si>
    <t>San Antonio</t>
  </si>
  <si>
    <t>Wave 01</t>
  </si>
  <si>
    <t>Venuto, Derek</t>
  </si>
  <si>
    <t>Smithson, Brent</t>
  </si>
  <si>
    <t>Presley, Brandan</t>
  </si>
  <si>
    <t>brandan.presley@exceltest.com</t>
  </si>
  <si>
    <t>Ives, Alec</t>
  </si>
  <si>
    <t>Velez, Sergio</t>
  </si>
  <si>
    <t>sergio.velez@exceltest.com</t>
  </si>
  <si>
    <t>Alabang</t>
  </si>
  <si>
    <t>Jabungan, Grace</t>
  </si>
  <si>
    <t>grace.jabungan@exceltest.com</t>
  </si>
  <si>
    <t>Hernandez, Riza</t>
  </si>
  <si>
    <t>Siguenza, Jessie</t>
  </si>
  <si>
    <t>Bohol</t>
  </si>
  <si>
    <t>Bolotaulo, Harcel</t>
  </si>
  <si>
    <t>harcel.bolotaulo@exceltest.com</t>
  </si>
  <si>
    <t>Ramos, Angelie</t>
  </si>
  <si>
    <t xml:space="preserve">Tier </t>
  </si>
  <si>
    <t>Handle Time</t>
  </si>
  <si>
    <t>Waston, Sheyvon</t>
  </si>
  <si>
    <t>Wave 03</t>
  </si>
  <si>
    <t>Morales, Paola</t>
  </si>
  <si>
    <t>Wave 12</t>
  </si>
  <si>
    <t>Arguello, Marcos</t>
  </si>
  <si>
    <t>Wave 16 B</t>
  </si>
  <si>
    <t>Fonseca, Daniel</t>
  </si>
  <si>
    <t>Molina, David</t>
  </si>
  <si>
    <t>Wave 23</t>
  </si>
  <si>
    <t>Recinos, Victor</t>
  </si>
  <si>
    <t>Molina, Juliocarlos</t>
  </si>
  <si>
    <t>Wave 26</t>
  </si>
  <si>
    <t>Wave 33 B</t>
  </si>
  <si>
    <t>Perez, Christian</t>
  </si>
  <si>
    <t>Ruyeras, Analyn</t>
  </si>
  <si>
    <t>Guerra, Ariella</t>
  </si>
  <si>
    <t>Dunn, Abbigail</t>
  </si>
  <si>
    <t>White, Marc</t>
  </si>
  <si>
    <t>Boehne, Jordan</t>
  </si>
  <si>
    <t>Primary Client</t>
  </si>
  <si>
    <t>Site</t>
  </si>
  <si>
    <t>Activity Name</t>
  </si>
  <si>
    <t>CESAR LANZAS</t>
  </si>
  <si>
    <t>JAIRO ACOSTA</t>
  </si>
  <si>
    <t>MARVIN LANUZA</t>
  </si>
  <si>
    <t>Completed</t>
  </si>
  <si>
    <t>DIANELYS CASTRO</t>
  </si>
  <si>
    <t>2022 - Acknowledgement - Insider Trading Policy</t>
  </si>
  <si>
    <t>2022 - Environment Security</t>
  </si>
  <si>
    <t>2022 - ibex Policies</t>
  </si>
  <si>
    <t>2022 - Information Security Quiz</t>
  </si>
  <si>
    <t>2022 - Personal Identifiable Information</t>
  </si>
  <si>
    <t>2022 - Security Awareness</t>
  </si>
  <si>
    <t>2022 - Social Engineering</t>
  </si>
  <si>
    <t>RANDDY HURTADO</t>
  </si>
  <si>
    <t>GERSON N/A</t>
  </si>
  <si>
    <t>KEVIN TOM</t>
  </si>
  <si>
    <t>Center Union</t>
  </si>
  <si>
    <t>CARLOS CASTILLO</t>
  </si>
  <si>
    <t>ALEX CARRION</t>
  </si>
  <si>
    <t>OSBETH LINARES</t>
  </si>
  <si>
    <t>JONATHAN MONTENEGRO</t>
  </si>
  <si>
    <t>ISAAC FIGUEROA</t>
  </si>
  <si>
    <t>Ofiplaza</t>
  </si>
  <si>
    <t>JOSE LOPEZ</t>
  </si>
  <si>
    <t>Nothern Union</t>
  </si>
  <si>
    <t>ANGIE OBANDO</t>
  </si>
  <si>
    <t>OSCAR BRAVO</t>
  </si>
  <si>
    <t>JULIAN ARANA</t>
  </si>
  <si>
    <t>SUMMER VALLECILLO</t>
  </si>
  <si>
    <t>GISSELLE MONTANO</t>
  </si>
  <si>
    <t>MARIO MACIAS</t>
  </si>
  <si>
    <t>NADIRIA MONCADA</t>
  </si>
  <si>
    <t>SKADDY ESTRADA</t>
  </si>
  <si>
    <t>JOSÉ CABRERA</t>
  </si>
  <si>
    <t>YARLET COOPER</t>
  </si>
  <si>
    <t>FREDDY RODRÍGUEZ</t>
  </si>
  <si>
    <t>EDGAR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</si>
</sst>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46" fontId="0" fillId="0" borderId="1" xfId="0" applyNumberFormat="1" applyBorder="1" applyAlignment="1">
      <alignment horizontal="center"/>
    </xf>
    <xf numFmtId="46" fontId="0" fillId="0" borderId="0" xfId="0" applyNumberFormat="1" applyAlignment="1">
      <alignment horizontal="center"/>
    </xf>
    <xf numFmtId="0" fontId="2" fillId="6" borderId="1" xfId="0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46" fontId="2" fillId="6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46" fontId="0" fillId="0" borderId="0" xfId="0" applyNumberFormat="1"/>
    <xf numFmtId="16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0" borderId="0" xfId="0" applyFont="1"/>
    <xf numFmtId="0" fontId="3" fillId="3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10" borderId="1" xfId="0" applyNumberFormat="1" applyFill="1" applyBorder="1" applyAlignment="1">
      <alignment horizontal="center"/>
    </xf>
    <xf numFmtId="2" fontId="4" fillId="8" borderId="1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9" fontId="0" fillId="10" borderId="1" xfId="0" applyNumberForma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10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19050</xdr:rowOff>
    </xdr:from>
    <xdr:to>
      <xdr:col>6</xdr:col>
      <xdr:colOff>0</xdr:colOff>
      <xdr:row>6</xdr:row>
      <xdr:rowOff>112058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605118" y="444874"/>
          <a:ext cx="7967382" cy="8550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Highlight in red all the fields showing as Pending using conditional formating.</a:t>
          </a:r>
          <a:endParaRPr lang="en-US">
            <a:effectLst/>
          </a:endParaRPr>
        </a:p>
        <a:p>
          <a:r>
            <a:rPr lang="es-N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Highlight in green all the hire dates older than 1/1/2022.</a:t>
          </a:r>
          <a:endParaRPr lang="en-US">
            <a:effectLst/>
          </a:endParaRPr>
        </a:p>
        <a:p>
          <a:r>
            <a:rPr lang="es-N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Highlight in yellow all the rows in the table when an agent has the training status.</a:t>
          </a:r>
          <a:endParaRPr lang="en-US">
            <a:effectLst/>
          </a:endParaRPr>
        </a:p>
        <a:p>
          <a:r>
            <a:rPr lang="es-NI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Sort the rules to</a:t>
          </a:r>
          <a:r>
            <a:rPr lang="es-NI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avoid they override each other.</a:t>
          </a:r>
        </a:p>
        <a:p>
          <a:endParaRPr lang="en-US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1</xdr:rowOff>
    </xdr:from>
    <xdr:to>
      <xdr:col>18</xdr:col>
      <xdr:colOff>0</xdr:colOff>
      <xdr:row>7</xdr:row>
      <xdr:rowOff>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6096000" y="190501"/>
          <a:ext cx="48768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Using</a:t>
          </a:r>
          <a:r>
            <a:rPr lang="es-NI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table in the Calls tab, create a pivot table in cell K10 showing:</a:t>
          </a:r>
          <a:endParaRPr lang="en-US">
            <a:effectLst/>
          </a:endParaRPr>
        </a:p>
        <a:p>
          <a:r>
            <a:rPr lang="es-NI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-The average handle time per agent name (rows) per day (columns).</a:t>
          </a:r>
          <a:endParaRPr lang="en-US">
            <a:effectLst/>
          </a:endParaRPr>
        </a:p>
        <a:p>
          <a:r>
            <a:rPr lang="es-NI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-The average handle time </a:t>
          </a:r>
          <a:r>
            <a:rPr lang="es-NI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must be </a:t>
          </a:r>
          <a:r>
            <a:rPr lang="es-NI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calculated field. (Average Handle Time = Handle Time / Handled Contacts)</a:t>
          </a:r>
          <a:endParaRPr lang="en-US">
            <a:effectLst/>
          </a:endParaRPr>
        </a:p>
        <a:p>
          <a:r>
            <a:rPr lang="es-NI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-The number format must be [hh]:mm:ss and error values should be blank.</a:t>
          </a:r>
          <a:endParaRPr lang="es-NI" sz="1100" baseline="0"/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9</xdr:col>
      <xdr:colOff>0</xdr:colOff>
      <xdr:row>7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609600" y="190500"/>
          <a:ext cx="48768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 b="1"/>
            <a:t>Using</a:t>
          </a:r>
          <a:r>
            <a:rPr lang="es-NI" sz="1100" b="1" baseline="0"/>
            <a:t> the table in the Courses tab, create a pivot table in cell B10 showing:</a:t>
          </a:r>
        </a:p>
        <a:p>
          <a:r>
            <a:rPr lang="es-NI" sz="1100" b="1" baseline="0"/>
            <a:t>-</a:t>
          </a:r>
          <a:r>
            <a:rPr lang="es-NI" sz="1100" b="0" baseline="0"/>
            <a:t>The amount of agents (values) in Completed Status (filter) per activity (rows).</a:t>
          </a:r>
          <a:endParaRPr lang="es-NI" sz="1100" baseline="0"/>
        </a:p>
      </xdr:txBody>
    </xdr:sp>
    <xdr:clientData/>
  </xdr:twoCellAnchor>
  <xdr:twoCellAnchor>
    <xdr:from>
      <xdr:col>19</xdr:col>
      <xdr:colOff>0</xdr:colOff>
      <xdr:row>2</xdr:row>
      <xdr:rowOff>0</xdr:rowOff>
    </xdr:from>
    <xdr:to>
      <xdr:col>27</xdr:col>
      <xdr:colOff>0</xdr:colOff>
      <xdr:row>7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1582400" y="190500"/>
          <a:ext cx="48768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 b="1"/>
            <a:t>Using</a:t>
          </a:r>
          <a:r>
            <a:rPr lang="es-NI" sz="1100" b="1" baseline="0"/>
            <a:t> the table in the Roster tab, create a pivot table in cell T10 showing:</a:t>
          </a:r>
        </a:p>
        <a:p>
          <a:r>
            <a:rPr lang="es-NI" sz="1100" baseline="0"/>
            <a:t>-A list of agents grouped by the year they were hired.</a:t>
          </a:r>
        </a:p>
        <a:p>
          <a:r>
            <a:rPr lang="es-NI" sz="1100" baseline="0"/>
            <a:t>-It must be in tabular form.</a:t>
          </a:r>
        </a:p>
        <a:p>
          <a:r>
            <a:rPr lang="es-NI" sz="1100" baseline="0"/>
            <a:t>-The year labels should not repeat.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14999847407452621"/>
  </sheetPr>
  <dimension ref="B2:E29"/>
  <sheetViews>
    <sheetView showGridLines="0" topLeftCell="A16" zoomScale="85" zoomScaleNormal="85" workbookViewId="0">
      <selection activeCell="E9" sqref="E9"/>
    </sheetView>
  </sheetViews>
  <sheetFormatPr defaultColWidth="22" defaultRowHeight="14.45"/>
  <cols>
    <col min="1" max="1" width="9.140625"/>
    <col min="3" max="3" width="27.7109375" bestFit="1" customWidth="1"/>
  </cols>
  <sheetData>
    <row r="2" spans="2:4" ht="18.600000000000001">
      <c r="B2" s="29" t="s">
        <v>0</v>
      </c>
    </row>
    <row r="3" spans="2:4" ht="18.600000000000001">
      <c r="B3" s="29"/>
    </row>
    <row r="4" spans="2:4">
      <c r="B4" s="5" t="s">
        <v>1</v>
      </c>
    </row>
    <row r="6" spans="2:4">
      <c r="B6" s="27" t="s">
        <v>2</v>
      </c>
      <c r="C6" s="27" t="s">
        <v>3</v>
      </c>
      <c r="D6" s="27" t="s">
        <v>4</v>
      </c>
    </row>
    <row r="7" spans="2:4">
      <c r="B7" s="4">
        <v>206750</v>
      </c>
      <c r="C7" s="4"/>
      <c r="D7" s="4"/>
    </row>
    <row r="8" spans="2:4">
      <c r="B8" s="4">
        <v>244371</v>
      </c>
      <c r="C8" s="4"/>
      <c r="D8" s="4"/>
    </row>
    <row r="9" spans="2:4">
      <c r="B9" s="4">
        <v>276379</v>
      </c>
      <c r="C9" s="4"/>
      <c r="D9" s="4"/>
    </row>
    <row r="10" spans="2:4">
      <c r="B10" s="4">
        <v>169350</v>
      </c>
      <c r="C10" s="4"/>
      <c r="D10" s="4"/>
    </row>
    <row r="11" spans="2:4">
      <c r="B11" s="4">
        <v>174832</v>
      </c>
      <c r="C11" s="4"/>
      <c r="D11" s="4"/>
    </row>
    <row r="13" spans="2:4">
      <c r="B13" s="5" t="s">
        <v>5</v>
      </c>
    </row>
    <row r="15" spans="2:4">
      <c r="B15" s="28" t="s">
        <v>2</v>
      </c>
      <c r="C15" s="28" t="s">
        <v>6</v>
      </c>
      <c r="D15" s="28" t="s">
        <v>7</v>
      </c>
    </row>
    <row r="16" spans="2:4">
      <c r="B16" s="4">
        <v>246533</v>
      </c>
      <c r="C16" s="10" t="s">
        <v>8</v>
      </c>
      <c r="D16" s="4"/>
    </row>
    <row r="17" spans="2:5">
      <c r="B17" s="4">
        <v>274448</v>
      </c>
      <c r="C17" s="10" t="s">
        <v>9</v>
      </c>
      <c r="D17" s="4"/>
    </row>
    <row r="18" spans="2:5">
      <c r="B18" s="4">
        <v>285904</v>
      </c>
      <c r="C18" s="10" t="s">
        <v>10</v>
      </c>
      <c r="D18" s="4"/>
    </row>
    <row r="19" spans="2:5">
      <c r="B19" s="4">
        <v>286014</v>
      </c>
      <c r="C19" s="10" t="s">
        <v>8</v>
      </c>
      <c r="D19" s="4"/>
    </row>
    <row r="20" spans="2:5">
      <c r="B20" s="4">
        <v>285179</v>
      </c>
      <c r="C20" s="10" t="s">
        <v>11</v>
      </c>
      <c r="D20" s="4"/>
    </row>
    <row r="22" spans="2:5">
      <c r="B22" t="s">
        <v>12</v>
      </c>
    </row>
    <row r="24" spans="2:5">
      <c r="B24" s="27" t="s">
        <v>3</v>
      </c>
      <c r="C24" s="27" t="s">
        <v>2</v>
      </c>
      <c r="D24" s="27" t="s">
        <v>13</v>
      </c>
      <c r="E24" s="27" t="s">
        <v>14</v>
      </c>
    </row>
    <row r="25" spans="2:5">
      <c r="B25" s="4" t="s">
        <v>15</v>
      </c>
      <c r="C25" s="4"/>
      <c r="D25" s="4"/>
      <c r="E25" s="3"/>
    </row>
    <row r="26" spans="2:5">
      <c r="B26" s="4" t="s">
        <v>16</v>
      </c>
      <c r="C26" s="4"/>
      <c r="D26" s="4"/>
      <c r="E26" s="3"/>
    </row>
    <row r="27" spans="2:5">
      <c r="B27" s="4" t="s">
        <v>17</v>
      </c>
      <c r="C27" s="4"/>
      <c r="D27" s="4"/>
      <c r="E27" s="3"/>
    </row>
    <row r="28" spans="2:5">
      <c r="B28" s="4" t="s">
        <v>18</v>
      </c>
      <c r="C28" s="4"/>
      <c r="D28" s="4"/>
      <c r="E28" s="3"/>
    </row>
    <row r="29" spans="2:5">
      <c r="B29" s="4" t="s">
        <v>19</v>
      </c>
      <c r="C29" s="4"/>
      <c r="D29" s="4"/>
      <c r="E2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0.14999847407452621"/>
  </sheetPr>
  <dimension ref="B2:F32"/>
  <sheetViews>
    <sheetView showGridLines="0" topLeftCell="A7" zoomScale="85" zoomScaleNormal="85" workbookViewId="0">
      <selection activeCell="B2" sqref="B2"/>
    </sheetView>
  </sheetViews>
  <sheetFormatPr defaultColWidth="22" defaultRowHeight="14.45"/>
  <cols>
    <col min="1" max="1" width="9.140625"/>
    <col min="6" max="6" width="31.42578125" bestFit="1" customWidth="1"/>
  </cols>
  <sheetData>
    <row r="2" spans="2:6" ht="18.600000000000001">
      <c r="B2" s="29" t="s">
        <v>20</v>
      </c>
    </row>
    <row r="3" spans="2:6">
      <c r="B3" s="5"/>
    </row>
    <row r="5" spans="2:6">
      <c r="B5" s="5"/>
    </row>
    <row r="6" spans="2:6">
      <c r="B6" s="5"/>
      <c r="F6" s="5"/>
    </row>
    <row r="7" spans="2:6">
      <c r="B7" s="5"/>
    </row>
    <row r="8" spans="2:6">
      <c r="B8" s="31" t="s">
        <v>2</v>
      </c>
      <c r="C8" s="31" t="s">
        <v>3</v>
      </c>
      <c r="D8" s="31" t="s">
        <v>21</v>
      </c>
      <c r="E8" s="31" t="s">
        <v>22</v>
      </c>
      <c r="F8" s="31" t="s">
        <v>23</v>
      </c>
    </row>
    <row r="9" spans="2:6">
      <c r="B9" s="4">
        <v>215343</v>
      </c>
      <c r="C9" s="4" t="s">
        <v>24</v>
      </c>
      <c r="D9" s="11">
        <v>43859</v>
      </c>
      <c r="E9" s="4" t="s">
        <v>25</v>
      </c>
      <c r="F9" s="4" t="s">
        <v>26</v>
      </c>
    </row>
    <row r="10" spans="2:6">
      <c r="B10" s="4">
        <v>215340</v>
      </c>
      <c r="C10" s="4" t="s">
        <v>27</v>
      </c>
      <c r="D10" s="11">
        <v>44590</v>
      </c>
      <c r="E10" s="4" t="s">
        <v>25</v>
      </c>
      <c r="F10" s="4" t="s">
        <v>28</v>
      </c>
    </row>
    <row r="11" spans="2:6">
      <c r="B11" s="4">
        <v>206750</v>
      </c>
      <c r="C11" s="4" t="s">
        <v>15</v>
      </c>
      <c r="D11" s="11">
        <v>44666</v>
      </c>
      <c r="E11" s="4" t="s">
        <v>25</v>
      </c>
      <c r="F11" s="4" t="s">
        <v>29</v>
      </c>
    </row>
    <row r="12" spans="2:6">
      <c r="B12" s="4">
        <v>240742</v>
      </c>
      <c r="C12" s="4" t="s">
        <v>30</v>
      </c>
      <c r="D12" s="11">
        <v>44300</v>
      </c>
      <c r="E12" s="4" t="s">
        <v>31</v>
      </c>
      <c r="F12" s="4" t="s">
        <v>32</v>
      </c>
    </row>
    <row r="13" spans="2:6">
      <c r="B13" s="4">
        <v>240745</v>
      </c>
      <c r="C13" s="4" t="s">
        <v>33</v>
      </c>
      <c r="D13" s="11">
        <v>44300</v>
      </c>
      <c r="E13" s="4" t="s">
        <v>34</v>
      </c>
      <c r="F13" s="4" t="s">
        <v>35</v>
      </c>
    </row>
    <row r="14" spans="2:6">
      <c r="B14" s="4" t="s">
        <v>28</v>
      </c>
      <c r="C14" s="4" t="s">
        <v>36</v>
      </c>
      <c r="D14" s="11">
        <v>44363</v>
      </c>
      <c r="E14" s="4" t="s">
        <v>31</v>
      </c>
      <c r="F14" s="4" t="s">
        <v>28</v>
      </c>
    </row>
    <row r="15" spans="2:6">
      <c r="B15" s="4">
        <v>252098</v>
      </c>
      <c r="C15" s="4" t="s">
        <v>37</v>
      </c>
      <c r="D15" s="11">
        <v>44439</v>
      </c>
      <c r="E15" s="4" t="s">
        <v>31</v>
      </c>
      <c r="F15" s="4" t="s">
        <v>38</v>
      </c>
    </row>
    <row r="16" spans="2:6">
      <c r="B16" s="4">
        <v>252214</v>
      </c>
      <c r="C16" s="4" t="s">
        <v>39</v>
      </c>
      <c r="D16" s="11">
        <v>44440</v>
      </c>
      <c r="E16" s="4" t="s">
        <v>25</v>
      </c>
      <c r="F16" s="4" t="s">
        <v>40</v>
      </c>
    </row>
    <row r="17" spans="2:6">
      <c r="B17" s="4">
        <v>261427</v>
      </c>
      <c r="C17" s="4" t="s">
        <v>41</v>
      </c>
      <c r="D17" s="11">
        <v>44496</v>
      </c>
      <c r="E17" s="4" t="s">
        <v>25</v>
      </c>
      <c r="F17" s="4" t="s">
        <v>42</v>
      </c>
    </row>
    <row r="18" spans="2:6">
      <c r="B18" s="4">
        <v>226356</v>
      </c>
      <c r="C18" s="4" t="s">
        <v>43</v>
      </c>
      <c r="D18" s="11">
        <v>44502</v>
      </c>
      <c r="E18" s="4" t="s">
        <v>25</v>
      </c>
      <c r="F18" s="4" t="s">
        <v>44</v>
      </c>
    </row>
    <row r="19" spans="2:6">
      <c r="B19" s="4">
        <v>268431</v>
      </c>
      <c r="C19" s="4" t="s">
        <v>45</v>
      </c>
      <c r="D19" s="11">
        <v>44537</v>
      </c>
      <c r="E19" s="4" t="s">
        <v>31</v>
      </c>
      <c r="F19" s="4" t="s">
        <v>46</v>
      </c>
    </row>
    <row r="20" spans="2:6">
      <c r="B20" s="4">
        <v>268432</v>
      </c>
      <c r="C20" s="4" t="s">
        <v>16</v>
      </c>
      <c r="D20" s="11">
        <v>44537</v>
      </c>
      <c r="E20" s="4" t="s">
        <v>25</v>
      </c>
      <c r="F20" s="4" t="s">
        <v>47</v>
      </c>
    </row>
    <row r="21" spans="2:6">
      <c r="B21" s="4" t="s">
        <v>28</v>
      </c>
      <c r="C21" s="4" t="s">
        <v>17</v>
      </c>
      <c r="D21" s="11">
        <v>44545</v>
      </c>
      <c r="E21" s="4" t="s">
        <v>25</v>
      </c>
      <c r="F21" s="4" t="s">
        <v>28</v>
      </c>
    </row>
    <row r="22" spans="2:6">
      <c r="B22" s="4" t="s">
        <v>28</v>
      </c>
      <c r="C22" s="4" t="s">
        <v>48</v>
      </c>
      <c r="D22" s="11">
        <v>44498</v>
      </c>
      <c r="E22" s="4" t="s">
        <v>25</v>
      </c>
      <c r="F22" s="4" t="s">
        <v>28</v>
      </c>
    </row>
    <row r="23" spans="2:6">
      <c r="B23" s="4">
        <v>276379</v>
      </c>
      <c r="C23" s="4" t="s">
        <v>49</v>
      </c>
      <c r="D23" s="11">
        <v>44588</v>
      </c>
      <c r="E23" s="4" t="s">
        <v>25</v>
      </c>
      <c r="F23" s="4" t="s">
        <v>50</v>
      </c>
    </row>
    <row r="24" spans="2:6">
      <c r="B24" s="4">
        <v>169350</v>
      </c>
      <c r="C24" s="4" t="s">
        <v>51</v>
      </c>
      <c r="D24" s="11">
        <v>43236</v>
      </c>
      <c r="E24" s="4" t="s">
        <v>25</v>
      </c>
      <c r="F24" s="4" t="s">
        <v>52</v>
      </c>
    </row>
    <row r="25" spans="2:6">
      <c r="B25" s="4">
        <v>280699</v>
      </c>
      <c r="C25" s="4" t="s">
        <v>53</v>
      </c>
      <c r="D25" s="11">
        <v>44643</v>
      </c>
      <c r="E25" s="4" t="s">
        <v>25</v>
      </c>
      <c r="F25" s="4" t="s">
        <v>54</v>
      </c>
    </row>
    <row r="26" spans="2:6">
      <c r="B26" s="4">
        <v>280700</v>
      </c>
      <c r="C26" s="4" t="s">
        <v>55</v>
      </c>
      <c r="D26" s="11">
        <v>44634</v>
      </c>
      <c r="E26" s="4" t="s">
        <v>34</v>
      </c>
      <c r="F26" s="4" t="s">
        <v>56</v>
      </c>
    </row>
    <row r="27" spans="2:6">
      <c r="B27" s="4">
        <v>226158</v>
      </c>
      <c r="C27" s="4" t="s">
        <v>18</v>
      </c>
      <c r="D27" s="11">
        <v>44714</v>
      </c>
      <c r="E27" s="4" t="s">
        <v>31</v>
      </c>
      <c r="F27" s="4" t="s">
        <v>28</v>
      </c>
    </row>
    <row r="28" spans="2:6">
      <c r="B28" s="4">
        <v>174832</v>
      </c>
      <c r="C28" s="4" t="s">
        <v>19</v>
      </c>
      <c r="D28" s="11">
        <v>43325</v>
      </c>
      <c r="E28" s="4" t="s">
        <v>34</v>
      </c>
      <c r="F28" s="4" t="s">
        <v>57</v>
      </c>
    </row>
    <row r="29" spans="2:6">
      <c r="C29" s="2"/>
      <c r="D29" s="2"/>
    </row>
    <row r="30" spans="2:6">
      <c r="C30" s="2"/>
      <c r="D30" s="2"/>
    </row>
    <row r="31" spans="2:6">
      <c r="C31" s="2"/>
      <c r="D31" s="2"/>
    </row>
    <row r="32" spans="2:6">
      <c r="C32" s="2"/>
      <c r="D32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0.14999847407452621"/>
  </sheetPr>
  <dimension ref="B2:T25"/>
  <sheetViews>
    <sheetView showGridLines="0" zoomScale="85" zoomScaleNormal="85" workbookViewId="0">
      <selection activeCell="B2" sqref="B2"/>
    </sheetView>
  </sheetViews>
  <sheetFormatPr defaultRowHeight="14.45"/>
  <cols>
    <col min="12" max="12" width="16.28515625" bestFit="1" customWidth="1"/>
    <col min="13" max="16" width="8.7109375" customWidth="1"/>
    <col min="17" max="17" width="11.28515625" bestFit="1" customWidth="1"/>
  </cols>
  <sheetData>
    <row r="2" spans="2:20" ht="18.600000000000001">
      <c r="B2" s="29" t="s">
        <v>58</v>
      </c>
    </row>
    <row r="10" spans="2:20">
      <c r="T10" s="8"/>
    </row>
    <row r="11" spans="2:20">
      <c r="B11" s="6"/>
      <c r="K11" s="7"/>
    </row>
    <row r="12" spans="2:20">
      <c r="L12" s="19"/>
      <c r="M12" s="19"/>
      <c r="N12" s="19"/>
      <c r="O12" s="19"/>
      <c r="P12" s="19"/>
      <c r="Q12" s="19"/>
    </row>
    <row r="13" spans="2:20">
      <c r="L13" s="14"/>
      <c r="M13" s="14"/>
      <c r="N13" s="14"/>
      <c r="O13" s="14"/>
      <c r="P13" s="14"/>
      <c r="Q13" s="14"/>
    </row>
    <row r="14" spans="2:20">
      <c r="L14" s="14"/>
      <c r="M14" s="14"/>
      <c r="N14" s="14"/>
      <c r="O14" s="14"/>
      <c r="P14" s="14"/>
      <c r="Q14" s="14"/>
    </row>
    <row r="15" spans="2:20">
      <c r="L15" s="14"/>
      <c r="M15" s="14"/>
      <c r="N15" s="14"/>
      <c r="O15" s="14"/>
      <c r="P15" s="14"/>
      <c r="Q15" s="14"/>
    </row>
    <row r="16" spans="2:20">
      <c r="L16" s="14"/>
      <c r="M16" s="14"/>
      <c r="N16" s="14"/>
      <c r="O16" s="14"/>
      <c r="P16" s="14"/>
      <c r="Q16" s="14"/>
    </row>
    <row r="17" spans="12:17">
      <c r="L17" s="14"/>
      <c r="M17" s="14"/>
      <c r="N17" s="14"/>
      <c r="O17" s="14"/>
      <c r="P17" s="14"/>
      <c r="Q17" s="14"/>
    </row>
    <row r="18" spans="12:17">
      <c r="L18" s="14"/>
      <c r="M18" s="14"/>
      <c r="N18" s="14"/>
      <c r="O18" s="14"/>
      <c r="P18" s="14"/>
      <c r="Q18" s="14"/>
    </row>
    <row r="19" spans="12:17">
      <c r="L19" s="14"/>
      <c r="M19" s="14"/>
      <c r="N19" s="14"/>
      <c r="O19" s="14"/>
      <c r="P19" s="14"/>
      <c r="Q19" s="14"/>
    </row>
    <row r="20" spans="12:17">
      <c r="L20" s="14"/>
      <c r="M20" s="14"/>
      <c r="N20" s="14"/>
      <c r="O20" s="14"/>
      <c r="P20" s="14"/>
      <c r="Q20" s="14"/>
    </row>
    <row r="21" spans="12:17">
      <c r="L21" s="14"/>
      <c r="M21" s="14"/>
      <c r="N21" s="14"/>
      <c r="O21" s="14"/>
      <c r="P21" s="14"/>
      <c r="Q21" s="14"/>
    </row>
    <row r="22" spans="12:17">
      <c r="L22" s="14"/>
      <c r="M22" s="14"/>
      <c r="N22" s="14"/>
      <c r="O22" s="14"/>
      <c r="P22" s="14"/>
      <c r="Q22" s="14"/>
    </row>
    <row r="23" spans="12:17">
      <c r="L23" s="14"/>
      <c r="M23" s="14"/>
      <c r="N23" s="14"/>
      <c r="O23" s="14"/>
      <c r="P23" s="14"/>
      <c r="Q23" s="14"/>
    </row>
    <row r="24" spans="12:17">
      <c r="L24" s="14"/>
      <c r="M24" s="14"/>
      <c r="N24" s="14"/>
      <c r="O24" s="14"/>
      <c r="P24" s="14"/>
      <c r="Q24" s="14"/>
    </row>
    <row r="25" spans="12:17">
      <c r="L25" s="20"/>
      <c r="M25" s="20"/>
      <c r="N25" s="20"/>
      <c r="O25" s="20"/>
      <c r="P25" s="20"/>
      <c r="Q25" s="2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0.14999847407452621"/>
  </sheetPr>
  <dimension ref="B2:G34"/>
  <sheetViews>
    <sheetView showGridLines="0" tabSelected="1" zoomScale="85" zoomScaleNormal="85" workbookViewId="0">
      <selection activeCell="C23" sqref="C23"/>
    </sheetView>
  </sheetViews>
  <sheetFormatPr defaultColWidth="22" defaultRowHeight="14.45"/>
  <cols>
    <col min="1" max="1" width="9.140625"/>
    <col min="2" max="2" width="23.7109375" bestFit="1" customWidth="1"/>
    <col min="3" max="3" width="27.5703125" bestFit="1" customWidth="1"/>
    <col min="4" max="4" width="21" bestFit="1" customWidth="1"/>
    <col min="5" max="5" width="5.7109375" customWidth="1"/>
  </cols>
  <sheetData>
    <row r="2" spans="2:7" ht="18.600000000000001">
      <c r="B2" s="29" t="s">
        <v>59</v>
      </c>
    </row>
    <row r="3" spans="2:7" ht="18.600000000000001">
      <c r="B3" s="29"/>
    </row>
    <row r="4" spans="2:7">
      <c r="B4" t="s">
        <v>60</v>
      </c>
    </row>
    <row r="6" spans="2:7">
      <c r="B6" s="9" t="s">
        <v>61</v>
      </c>
      <c r="C6" s="9" t="s">
        <v>62</v>
      </c>
      <c r="D6" s="9" t="s">
        <v>63</v>
      </c>
    </row>
    <row r="7" spans="2:7">
      <c r="B7" s="4" t="s">
        <v>64</v>
      </c>
      <c r="C7" s="3"/>
      <c r="D7" s="3"/>
    </row>
    <row r="9" spans="2:7">
      <c r="B9" t="s">
        <v>65</v>
      </c>
    </row>
    <row r="11" spans="2:7">
      <c r="B11" s="31" t="s">
        <v>3</v>
      </c>
      <c r="C11" s="31" t="s">
        <v>66</v>
      </c>
      <c r="D11" s="31" t="s">
        <v>67</v>
      </c>
      <c r="F11" s="31" t="s">
        <v>66</v>
      </c>
      <c r="G11" s="31" t="s">
        <v>67</v>
      </c>
    </row>
    <row r="12" spans="2:7">
      <c r="B12" s="4" t="s">
        <v>24</v>
      </c>
      <c r="C12" s="4">
        <v>3</v>
      </c>
      <c r="D12" s="4"/>
      <c r="F12" s="4" t="s">
        <v>68</v>
      </c>
      <c r="G12" s="4" t="s">
        <v>69</v>
      </c>
    </row>
    <row r="13" spans="2:7">
      <c r="B13" s="4" t="s">
        <v>27</v>
      </c>
      <c r="C13" s="4">
        <v>4.7</v>
      </c>
      <c r="D13" s="4"/>
      <c r="F13" s="4" t="s">
        <v>70</v>
      </c>
      <c r="G13" s="4" t="s">
        <v>71</v>
      </c>
    </row>
    <row r="14" spans="2:7">
      <c r="B14" s="4" t="s">
        <v>15</v>
      </c>
      <c r="C14" s="4">
        <v>4</v>
      </c>
      <c r="D14" s="4"/>
      <c r="F14" s="4" t="s">
        <v>72</v>
      </c>
      <c r="G14" s="4" t="s">
        <v>73</v>
      </c>
    </row>
    <row r="15" spans="2:7">
      <c r="B15" s="4" t="s">
        <v>30</v>
      </c>
      <c r="C15" s="4">
        <v>2</v>
      </c>
      <c r="D15" s="4"/>
    </row>
    <row r="16" spans="2:7">
      <c r="B16" s="4" t="s">
        <v>33</v>
      </c>
      <c r="C16" s="4">
        <v>3.5</v>
      </c>
      <c r="D16" s="4"/>
    </row>
    <row r="18" spans="2:4">
      <c r="B18" t="s">
        <v>74</v>
      </c>
    </row>
    <row r="20" spans="2:4">
      <c r="B20" s="30" t="s">
        <v>3</v>
      </c>
      <c r="C20" s="30" t="s">
        <v>75</v>
      </c>
      <c r="D20" s="30" t="s">
        <v>76</v>
      </c>
    </row>
    <row r="21" spans="2:4">
      <c r="B21" s="4" t="s">
        <v>77</v>
      </c>
      <c r="C21" s="11">
        <v>44684</v>
      </c>
      <c r="D21" s="4"/>
    </row>
    <row r="22" spans="2:4">
      <c r="B22" s="4" t="s">
        <v>78</v>
      </c>
      <c r="C22" s="11">
        <v>44686</v>
      </c>
      <c r="D22" s="4"/>
    </row>
    <row r="23" spans="2:4">
      <c r="B23" s="4" t="s">
        <v>79</v>
      </c>
      <c r="C23" s="11">
        <v>44682</v>
      </c>
      <c r="D23" s="4"/>
    </row>
    <row r="24" spans="2:4">
      <c r="B24" s="4" t="s">
        <v>80</v>
      </c>
      <c r="C24" s="11">
        <v>44685</v>
      </c>
      <c r="D24" s="4"/>
    </row>
    <row r="25" spans="2:4">
      <c r="B25" s="4" t="s">
        <v>77</v>
      </c>
      <c r="C25" s="11">
        <v>44686</v>
      </c>
      <c r="D25" s="4"/>
    </row>
    <row r="27" spans="2:4">
      <c r="B27" t="s">
        <v>81</v>
      </c>
    </row>
    <row r="29" spans="2:4">
      <c r="B29" s="28" t="s">
        <v>82</v>
      </c>
      <c r="C29" s="28" t="s">
        <v>31</v>
      </c>
      <c r="D29" s="28" t="s">
        <v>83</v>
      </c>
    </row>
    <row r="30" spans="2:4">
      <c r="B30" s="4" t="s">
        <v>84</v>
      </c>
      <c r="C30" s="4" t="s">
        <v>8</v>
      </c>
      <c r="D30" s="4"/>
    </row>
    <row r="31" spans="2:4">
      <c r="B31" s="4" t="s">
        <v>84</v>
      </c>
      <c r="C31" s="4" t="s">
        <v>11</v>
      </c>
      <c r="D31" s="4"/>
    </row>
    <row r="32" spans="2:4">
      <c r="B32" s="4" t="s">
        <v>85</v>
      </c>
      <c r="C32" s="4" t="s">
        <v>8</v>
      </c>
      <c r="D32" s="4"/>
    </row>
    <row r="33" spans="2:4">
      <c r="B33" s="4" t="s">
        <v>85</v>
      </c>
      <c r="C33" s="4" t="s">
        <v>11</v>
      </c>
      <c r="D33" s="4"/>
    </row>
    <row r="34" spans="2:4">
      <c r="B34" s="4" t="s">
        <v>86</v>
      </c>
      <c r="C34" s="4" t="s">
        <v>87</v>
      </c>
      <c r="D34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26"/>
  <sheetViews>
    <sheetView showGridLines="0" workbookViewId="0"/>
  </sheetViews>
  <sheetFormatPr defaultColWidth="9.140625" defaultRowHeight="14.45"/>
  <cols>
    <col min="1" max="1" width="1.7109375" style="2" customWidth="1"/>
    <col min="2" max="6" width="9.140625" style="2"/>
    <col min="7" max="7" width="9.5703125" style="2" bestFit="1" customWidth="1"/>
    <col min="8" max="16384" width="9.140625" style="2"/>
  </cols>
  <sheetData>
    <row r="1" spans="2:11" ht="9.9499999999999993" customHeight="1"/>
    <row r="2" spans="2:11">
      <c r="B2" s="41" t="s">
        <v>88</v>
      </c>
      <c r="C2" s="41"/>
      <c r="D2" s="41"/>
      <c r="E2" s="41"/>
      <c r="F2" s="41"/>
      <c r="G2" s="41"/>
      <c r="I2" s="38" t="s">
        <v>89</v>
      </c>
      <c r="J2" s="38" t="s">
        <v>90</v>
      </c>
      <c r="K2" s="38" t="s">
        <v>91</v>
      </c>
    </row>
    <row r="3" spans="2:11">
      <c r="B3" s="4" t="s">
        <v>92</v>
      </c>
      <c r="C3" s="4" t="s">
        <v>93</v>
      </c>
      <c r="D3" s="4" t="s">
        <v>94</v>
      </c>
      <c r="E3" s="4" t="s">
        <v>95</v>
      </c>
      <c r="F3" s="4" t="s">
        <v>96</v>
      </c>
      <c r="G3" s="4" t="s">
        <v>66</v>
      </c>
      <c r="I3" s="39" t="str">
        <f>IFERROR(AVERAGE(F4:F17),"")</f>
        <v/>
      </c>
      <c r="J3" s="37" t="str">
        <f>IFERROR(AVERAGE(F22:F24),"")</f>
        <v/>
      </c>
      <c r="K3" s="37" t="str">
        <f>IFERROR(AVERAGE(F19:F21),"")</f>
        <v/>
      </c>
    </row>
    <row r="4" spans="2:11">
      <c r="B4" s="42" t="s">
        <v>97</v>
      </c>
      <c r="C4" s="43">
        <v>3</v>
      </c>
      <c r="D4" s="4">
        <v>1</v>
      </c>
      <c r="E4" s="32">
        <f>1/COUNT($D$4:$D$17)</f>
        <v>7.1428571428571425E-2</v>
      </c>
      <c r="F4" s="33"/>
      <c r="G4" s="34">
        <f>60*E4*F4</f>
        <v>0</v>
      </c>
    </row>
    <row r="5" spans="2:11">
      <c r="B5" s="42"/>
      <c r="C5" s="43"/>
      <c r="D5" s="4">
        <v>2</v>
      </c>
      <c r="E5" s="32">
        <f t="shared" ref="E5:E17" si="0">1/COUNT($D$4:$D$17)</f>
        <v>7.1428571428571425E-2</v>
      </c>
      <c r="F5" s="4"/>
      <c r="G5" s="34">
        <f t="shared" ref="G5:G17" si="1">60*E5*F5</f>
        <v>0</v>
      </c>
    </row>
    <row r="6" spans="2:11">
      <c r="B6" s="42"/>
      <c r="C6" s="43"/>
      <c r="D6" s="4">
        <v>3</v>
      </c>
      <c r="E6" s="32">
        <f t="shared" si="0"/>
        <v>7.1428571428571425E-2</v>
      </c>
      <c r="F6" s="4"/>
      <c r="G6" s="34">
        <f t="shared" si="1"/>
        <v>0</v>
      </c>
    </row>
    <row r="7" spans="2:11">
      <c r="B7" s="42"/>
      <c r="C7" s="43">
        <v>4</v>
      </c>
      <c r="D7" s="4">
        <v>1</v>
      </c>
      <c r="E7" s="32">
        <f t="shared" si="0"/>
        <v>7.1428571428571425E-2</v>
      </c>
      <c r="F7" s="4"/>
      <c r="G7" s="34">
        <f t="shared" si="1"/>
        <v>0</v>
      </c>
    </row>
    <row r="8" spans="2:11">
      <c r="B8" s="42"/>
      <c r="C8" s="43"/>
      <c r="D8" s="4">
        <v>2</v>
      </c>
      <c r="E8" s="32">
        <f t="shared" si="0"/>
        <v>7.1428571428571425E-2</v>
      </c>
      <c r="F8" s="4"/>
      <c r="G8" s="34">
        <f t="shared" si="1"/>
        <v>0</v>
      </c>
    </row>
    <row r="9" spans="2:11">
      <c r="B9" s="42"/>
      <c r="C9" s="43"/>
      <c r="D9" s="4">
        <v>3</v>
      </c>
      <c r="E9" s="32">
        <f t="shared" si="0"/>
        <v>7.1428571428571425E-2</v>
      </c>
      <c r="F9" s="4"/>
      <c r="G9" s="34">
        <f t="shared" si="1"/>
        <v>0</v>
      </c>
    </row>
    <row r="10" spans="2:11">
      <c r="B10" s="42"/>
      <c r="C10" s="43"/>
      <c r="D10" s="4">
        <v>4</v>
      </c>
      <c r="E10" s="32">
        <f t="shared" si="0"/>
        <v>7.1428571428571425E-2</v>
      </c>
      <c r="F10" s="4"/>
      <c r="G10" s="34">
        <f t="shared" si="1"/>
        <v>0</v>
      </c>
    </row>
    <row r="11" spans="2:11">
      <c r="B11" s="42"/>
      <c r="C11" s="43">
        <v>5</v>
      </c>
      <c r="D11" s="4">
        <v>1</v>
      </c>
      <c r="E11" s="32">
        <f t="shared" si="0"/>
        <v>7.1428571428571425E-2</v>
      </c>
      <c r="F11" s="4"/>
      <c r="G11" s="34">
        <f t="shared" si="1"/>
        <v>0</v>
      </c>
    </row>
    <row r="12" spans="2:11">
      <c r="B12" s="42"/>
      <c r="C12" s="43"/>
      <c r="D12" s="4">
        <v>2</v>
      </c>
      <c r="E12" s="32">
        <f t="shared" si="0"/>
        <v>7.1428571428571425E-2</v>
      </c>
      <c r="F12" s="4"/>
      <c r="G12" s="34">
        <f t="shared" si="1"/>
        <v>0</v>
      </c>
    </row>
    <row r="13" spans="2:11">
      <c r="B13" s="42"/>
      <c r="C13" s="43"/>
      <c r="D13" s="4">
        <v>3</v>
      </c>
      <c r="E13" s="32">
        <f t="shared" si="0"/>
        <v>7.1428571428571425E-2</v>
      </c>
      <c r="F13" s="4"/>
      <c r="G13" s="34">
        <f t="shared" si="1"/>
        <v>0</v>
      </c>
    </row>
    <row r="14" spans="2:11">
      <c r="B14" s="42"/>
      <c r="C14" s="43">
        <v>6</v>
      </c>
      <c r="D14" s="4">
        <v>1</v>
      </c>
      <c r="E14" s="32">
        <f t="shared" si="0"/>
        <v>7.1428571428571425E-2</v>
      </c>
      <c r="F14" s="4"/>
      <c r="G14" s="34">
        <f t="shared" si="1"/>
        <v>0</v>
      </c>
    </row>
    <row r="15" spans="2:11">
      <c r="B15" s="42"/>
      <c r="C15" s="43"/>
      <c r="D15" s="4">
        <v>2</v>
      </c>
      <c r="E15" s="32">
        <f t="shared" si="0"/>
        <v>7.1428571428571425E-2</v>
      </c>
      <c r="F15" s="4"/>
      <c r="G15" s="34">
        <f t="shared" si="1"/>
        <v>0</v>
      </c>
    </row>
    <row r="16" spans="2:11">
      <c r="B16" s="42"/>
      <c r="C16" s="43"/>
      <c r="D16" s="4">
        <v>3</v>
      </c>
      <c r="E16" s="32">
        <f t="shared" si="0"/>
        <v>7.1428571428571425E-2</v>
      </c>
      <c r="F16" s="4"/>
      <c r="G16" s="34">
        <f t="shared" si="1"/>
        <v>0</v>
      </c>
    </row>
    <row r="17" spans="2:7">
      <c r="B17" s="42"/>
      <c r="C17" s="43"/>
      <c r="D17" s="4">
        <v>4</v>
      </c>
      <c r="E17" s="32">
        <f t="shared" si="0"/>
        <v>7.1428571428571425E-2</v>
      </c>
      <c r="F17" s="4"/>
      <c r="G17" s="34">
        <f t="shared" si="1"/>
        <v>0</v>
      </c>
    </row>
    <row r="18" spans="2:7">
      <c r="B18" s="42"/>
      <c r="C18" s="44" t="s">
        <v>98</v>
      </c>
      <c r="D18" s="44"/>
      <c r="E18" s="44"/>
      <c r="F18" s="44"/>
      <c r="G18" s="35">
        <f>SUM(G4:G17)</f>
        <v>0</v>
      </c>
    </row>
    <row r="19" spans="2:7" ht="15" customHeight="1">
      <c r="B19" s="42" t="s">
        <v>99</v>
      </c>
      <c r="C19" s="43">
        <v>1</v>
      </c>
      <c r="D19" s="4">
        <v>1</v>
      </c>
      <c r="E19" s="32">
        <f t="shared" ref="E19:E24" si="2">1/COUNT($D$19:$D$24)</f>
        <v>0.16666666666666666</v>
      </c>
      <c r="F19" s="4"/>
      <c r="G19" s="34">
        <f>40*F19*E19</f>
        <v>0</v>
      </c>
    </row>
    <row r="20" spans="2:7">
      <c r="B20" s="42"/>
      <c r="C20" s="43"/>
      <c r="D20" s="4">
        <v>2</v>
      </c>
      <c r="E20" s="32">
        <f t="shared" si="2"/>
        <v>0.16666666666666666</v>
      </c>
      <c r="F20" s="4"/>
      <c r="G20" s="34">
        <f t="shared" ref="G20:G24" si="3">40*F20*E20</f>
        <v>0</v>
      </c>
    </row>
    <row r="21" spans="2:7">
      <c r="B21" s="42"/>
      <c r="C21" s="43"/>
      <c r="D21" s="4">
        <v>3</v>
      </c>
      <c r="E21" s="32">
        <f t="shared" si="2"/>
        <v>0.16666666666666666</v>
      </c>
      <c r="F21" s="4"/>
      <c r="G21" s="34">
        <f t="shared" si="3"/>
        <v>0</v>
      </c>
    </row>
    <row r="22" spans="2:7">
      <c r="B22" s="42"/>
      <c r="C22" s="43">
        <v>2</v>
      </c>
      <c r="D22" s="4">
        <v>1</v>
      </c>
      <c r="E22" s="32">
        <f t="shared" si="2"/>
        <v>0.16666666666666666</v>
      </c>
      <c r="F22" s="4"/>
      <c r="G22" s="34">
        <f t="shared" si="3"/>
        <v>0</v>
      </c>
    </row>
    <row r="23" spans="2:7">
      <c r="B23" s="42"/>
      <c r="C23" s="43"/>
      <c r="D23" s="4">
        <v>3</v>
      </c>
      <c r="E23" s="32">
        <f t="shared" si="2"/>
        <v>0.16666666666666666</v>
      </c>
      <c r="F23" s="4"/>
      <c r="G23" s="34">
        <f t="shared" si="3"/>
        <v>0</v>
      </c>
    </row>
    <row r="24" spans="2:7">
      <c r="B24" s="42"/>
      <c r="C24" s="43"/>
      <c r="D24" s="4">
        <v>4</v>
      </c>
      <c r="E24" s="32">
        <f t="shared" si="2"/>
        <v>0.16666666666666666</v>
      </c>
      <c r="F24" s="4"/>
      <c r="G24" s="34">
        <f t="shared" si="3"/>
        <v>0</v>
      </c>
    </row>
    <row r="25" spans="2:7">
      <c r="B25" s="42"/>
      <c r="C25" s="44" t="s">
        <v>100</v>
      </c>
      <c r="D25" s="44"/>
      <c r="E25" s="44"/>
      <c r="F25" s="44"/>
      <c r="G25" s="35">
        <f>SUM(G19:G24)</f>
        <v>0</v>
      </c>
    </row>
    <row r="26" spans="2:7">
      <c r="B26" s="40" t="s">
        <v>101</v>
      </c>
      <c r="C26" s="40"/>
      <c r="D26" s="40"/>
      <c r="E26" s="40"/>
      <c r="F26" s="40"/>
      <c r="G26" s="36">
        <f>SUM(G25,G18)</f>
        <v>0</v>
      </c>
    </row>
  </sheetData>
  <mergeCells count="12">
    <mergeCell ref="B26:F26"/>
    <mergeCell ref="B2:G2"/>
    <mergeCell ref="B4:B18"/>
    <mergeCell ref="C19:C21"/>
    <mergeCell ref="C22:C24"/>
    <mergeCell ref="B19:B25"/>
    <mergeCell ref="C25:F25"/>
    <mergeCell ref="C4:C6"/>
    <mergeCell ref="C7:C10"/>
    <mergeCell ref="C11:C13"/>
    <mergeCell ref="C14:C17"/>
    <mergeCell ref="C18:F18"/>
  </mergeCells>
  <dataValidations count="1">
    <dataValidation type="list" allowBlank="1" showInputMessage="1" showErrorMessage="1" sqref="F4:F17 F19:F24" xr:uid="{00000000-0002-0000-0600-000000000000}">
      <formula1>"100%,0%"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59999389629810485"/>
  </sheetPr>
  <dimension ref="A1:O25"/>
  <sheetViews>
    <sheetView zoomScale="85" zoomScaleNormal="85" workbookViewId="0"/>
  </sheetViews>
  <sheetFormatPr defaultColWidth="17.7109375" defaultRowHeight="14.45"/>
  <cols>
    <col min="1" max="8" width="17.7109375" style="2"/>
    <col min="9" max="9" width="31.42578125" style="2" bestFit="1" customWidth="1"/>
    <col min="11" max="11" width="17.7109375" style="19"/>
  </cols>
  <sheetData>
    <row r="1" spans="1:15">
      <c r="A1" s="23" t="s">
        <v>2</v>
      </c>
      <c r="B1" s="23" t="s">
        <v>102</v>
      </c>
      <c r="C1" s="23" t="s">
        <v>3</v>
      </c>
      <c r="D1" s="23" t="s">
        <v>14</v>
      </c>
      <c r="E1" s="23" t="s">
        <v>4</v>
      </c>
      <c r="F1" s="23" t="s">
        <v>67</v>
      </c>
      <c r="G1" s="23" t="s">
        <v>13</v>
      </c>
      <c r="H1" s="23" t="s">
        <v>22</v>
      </c>
      <c r="I1" s="23" t="s">
        <v>23</v>
      </c>
      <c r="J1" s="23" t="s">
        <v>103</v>
      </c>
      <c r="K1" s="24" t="s">
        <v>21</v>
      </c>
      <c r="L1" s="23" t="s">
        <v>104</v>
      </c>
      <c r="M1" s="23" t="s">
        <v>105</v>
      </c>
    </row>
    <row r="2" spans="1:15">
      <c r="A2" s="4">
        <v>215343</v>
      </c>
      <c r="B2" s="4" t="s">
        <v>106</v>
      </c>
      <c r="C2" s="4" t="s">
        <v>24</v>
      </c>
      <c r="D2" s="4" t="s">
        <v>107</v>
      </c>
      <c r="E2" s="4" t="s">
        <v>108</v>
      </c>
      <c r="F2" s="4" t="s">
        <v>109</v>
      </c>
      <c r="G2" s="4" t="s">
        <v>110</v>
      </c>
      <c r="H2" s="4" t="s">
        <v>25</v>
      </c>
      <c r="I2" s="4" t="s">
        <v>26</v>
      </c>
      <c r="J2" s="4" t="s">
        <v>111</v>
      </c>
      <c r="K2" s="11">
        <v>43859</v>
      </c>
      <c r="L2" s="4" t="s">
        <v>112</v>
      </c>
      <c r="M2" s="4" t="s">
        <v>113</v>
      </c>
    </row>
    <row r="3" spans="1:15">
      <c r="A3" s="4">
        <v>215340</v>
      </c>
      <c r="B3" s="4" t="s">
        <v>106</v>
      </c>
      <c r="C3" s="4" t="s">
        <v>27</v>
      </c>
      <c r="D3" s="4" t="s">
        <v>114</v>
      </c>
      <c r="E3" s="4" t="s">
        <v>115</v>
      </c>
      <c r="F3" s="4" t="s">
        <v>116</v>
      </c>
      <c r="G3" s="4" t="s">
        <v>110</v>
      </c>
      <c r="H3" s="4" t="s">
        <v>25</v>
      </c>
      <c r="I3" s="4" t="s">
        <v>117</v>
      </c>
      <c r="J3" s="4" t="s">
        <v>111</v>
      </c>
      <c r="K3" s="11">
        <v>43859</v>
      </c>
      <c r="L3" s="4" t="s">
        <v>118</v>
      </c>
      <c r="M3" s="4" t="s">
        <v>119</v>
      </c>
    </row>
    <row r="4" spans="1:15">
      <c r="A4" s="4">
        <v>206750</v>
      </c>
      <c r="B4" s="4" t="s">
        <v>106</v>
      </c>
      <c r="C4" s="4" t="s">
        <v>15</v>
      </c>
      <c r="D4" s="4" t="s">
        <v>107</v>
      </c>
      <c r="E4" s="4" t="s">
        <v>108</v>
      </c>
      <c r="F4" s="4" t="s">
        <v>109</v>
      </c>
      <c r="G4" s="4" t="s">
        <v>110</v>
      </c>
      <c r="H4" s="4" t="s">
        <v>25</v>
      </c>
      <c r="I4" s="4" t="s">
        <v>29</v>
      </c>
      <c r="J4" s="4" t="s">
        <v>120</v>
      </c>
      <c r="K4" s="11">
        <v>43936</v>
      </c>
      <c r="L4" s="4" t="s">
        <v>112</v>
      </c>
      <c r="M4" s="4" t="s">
        <v>113</v>
      </c>
    </row>
    <row r="5" spans="1:15">
      <c r="A5" s="4">
        <v>240742</v>
      </c>
      <c r="B5" s="4" t="s">
        <v>106</v>
      </c>
      <c r="C5" s="4" t="s">
        <v>30</v>
      </c>
      <c r="D5" s="4" t="s">
        <v>121</v>
      </c>
      <c r="E5" s="4" t="s">
        <v>115</v>
      </c>
      <c r="F5" s="4" t="s">
        <v>109</v>
      </c>
      <c r="G5" s="4" t="s">
        <v>110</v>
      </c>
      <c r="H5" s="4" t="s">
        <v>25</v>
      </c>
      <c r="I5" s="4" t="s">
        <v>32</v>
      </c>
      <c r="J5" s="4" t="s">
        <v>122</v>
      </c>
      <c r="K5" s="11">
        <v>44300</v>
      </c>
      <c r="L5" s="4" t="s">
        <v>123</v>
      </c>
      <c r="M5" s="4" t="s">
        <v>124</v>
      </c>
    </row>
    <row r="6" spans="1:15">
      <c r="A6" s="4">
        <v>240745</v>
      </c>
      <c r="B6" s="4" t="s">
        <v>106</v>
      </c>
      <c r="C6" s="4" t="s">
        <v>33</v>
      </c>
      <c r="D6" s="4" t="s">
        <v>125</v>
      </c>
      <c r="E6" s="4" t="s">
        <v>126</v>
      </c>
      <c r="F6" s="4" t="s">
        <v>109</v>
      </c>
      <c r="G6" s="4" t="s">
        <v>110</v>
      </c>
      <c r="H6" s="4" t="s">
        <v>25</v>
      </c>
      <c r="I6" s="4" t="s">
        <v>35</v>
      </c>
      <c r="J6" s="4" t="s">
        <v>122</v>
      </c>
      <c r="K6" s="11">
        <v>44300</v>
      </c>
      <c r="L6" s="4" t="s">
        <v>127</v>
      </c>
      <c r="M6" s="4" t="s">
        <v>113</v>
      </c>
    </row>
    <row r="7" spans="1:15">
      <c r="A7" s="4">
        <v>244371</v>
      </c>
      <c r="B7" s="4" t="s">
        <v>106</v>
      </c>
      <c r="C7" s="4" t="s">
        <v>36</v>
      </c>
      <c r="D7" s="4" t="s">
        <v>128</v>
      </c>
      <c r="E7" s="4" t="s">
        <v>126</v>
      </c>
      <c r="F7" s="4" t="s">
        <v>109</v>
      </c>
      <c r="G7" s="4" t="s">
        <v>110</v>
      </c>
      <c r="H7" s="4" t="s">
        <v>25</v>
      </c>
      <c r="I7" s="4" t="s">
        <v>129</v>
      </c>
      <c r="J7" s="4" t="s">
        <v>130</v>
      </c>
      <c r="K7" s="11">
        <v>44363</v>
      </c>
      <c r="L7" s="4" t="s">
        <v>131</v>
      </c>
      <c r="M7" s="4" t="s">
        <v>119</v>
      </c>
    </row>
    <row r="8" spans="1:15">
      <c r="A8" s="4">
        <v>252098</v>
      </c>
      <c r="B8" s="4" t="s">
        <v>106</v>
      </c>
      <c r="C8" s="4" t="s">
        <v>37</v>
      </c>
      <c r="D8" s="4" t="s">
        <v>125</v>
      </c>
      <c r="E8" s="4" t="s">
        <v>115</v>
      </c>
      <c r="F8" s="4" t="s">
        <v>109</v>
      </c>
      <c r="G8" s="4" t="s">
        <v>132</v>
      </c>
      <c r="H8" s="4" t="s">
        <v>25</v>
      </c>
      <c r="I8" s="4" t="s">
        <v>38</v>
      </c>
      <c r="J8" s="4" t="s">
        <v>133</v>
      </c>
      <c r="K8" s="11">
        <v>44439</v>
      </c>
      <c r="L8" s="4" t="s">
        <v>134</v>
      </c>
      <c r="M8" s="4" t="s">
        <v>119</v>
      </c>
    </row>
    <row r="9" spans="1:15">
      <c r="A9" s="4">
        <v>252214</v>
      </c>
      <c r="B9" s="4" t="s">
        <v>106</v>
      </c>
      <c r="C9" s="4" t="s">
        <v>39</v>
      </c>
      <c r="D9" s="4" t="s">
        <v>121</v>
      </c>
      <c r="E9" s="4" t="s">
        <v>115</v>
      </c>
      <c r="F9" s="4" t="s">
        <v>116</v>
      </c>
      <c r="G9" s="4" t="s">
        <v>110</v>
      </c>
      <c r="H9" s="4" t="s">
        <v>25</v>
      </c>
      <c r="I9" s="4" t="s">
        <v>40</v>
      </c>
      <c r="J9" s="4" t="s">
        <v>133</v>
      </c>
      <c r="K9" s="11">
        <v>44440</v>
      </c>
      <c r="L9" s="4" t="s">
        <v>135</v>
      </c>
      <c r="M9" s="4" t="s">
        <v>119</v>
      </c>
      <c r="N9" s="2"/>
      <c r="O9" s="2"/>
    </row>
    <row r="10" spans="1:15">
      <c r="A10" s="4">
        <v>261427</v>
      </c>
      <c r="B10" s="4" t="s">
        <v>106</v>
      </c>
      <c r="C10" s="4" t="s">
        <v>41</v>
      </c>
      <c r="D10" s="4" t="s">
        <v>114</v>
      </c>
      <c r="E10" s="21" t="s">
        <v>115</v>
      </c>
      <c r="F10" s="21" t="s">
        <v>109</v>
      </c>
      <c r="G10" s="21" t="s">
        <v>110</v>
      </c>
      <c r="H10" s="21" t="s">
        <v>25</v>
      </c>
      <c r="I10" s="21" t="s">
        <v>42</v>
      </c>
      <c r="J10" s="21" t="s">
        <v>136</v>
      </c>
      <c r="K10" s="11">
        <v>44496</v>
      </c>
      <c r="L10" s="21" t="s">
        <v>137</v>
      </c>
      <c r="M10" s="21" t="s">
        <v>138</v>
      </c>
      <c r="N10" s="1"/>
      <c r="O10" s="1"/>
    </row>
    <row r="11" spans="1:15">
      <c r="A11" s="4">
        <v>226356</v>
      </c>
      <c r="B11" s="4" t="s">
        <v>106</v>
      </c>
      <c r="C11" s="4" t="s">
        <v>43</v>
      </c>
      <c r="D11" s="4" t="s">
        <v>121</v>
      </c>
      <c r="E11" s="22" t="s">
        <v>115</v>
      </c>
      <c r="F11" s="4" t="s">
        <v>109</v>
      </c>
      <c r="G11" s="4" t="s">
        <v>110</v>
      </c>
      <c r="H11" s="4" t="s">
        <v>25</v>
      </c>
      <c r="I11" s="4" t="s">
        <v>44</v>
      </c>
      <c r="J11" s="4" t="s">
        <v>139</v>
      </c>
      <c r="K11" s="11">
        <v>44502</v>
      </c>
      <c r="L11" s="4" t="s">
        <v>123</v>
      </c>
      <c r="M11" s="4" t="s">
        <v>124</v>
      </c>
    </row>
    <row r="12" spans="1:15">
      <c r="A12" s="4">
        <v>268431</v>
      </c>
      <c r="B12" s="4" t="s">
        <v>106</v>
      </c>
      <c r="C12" s="4" t="s">
        <v>45</v>
      </c>
      <c r="D12" s="4" t="s">
        <v>121</v>
      </c>
      <c r="E12" s="22" t="s">
        <v>115</v>
      </c>
      <c r="F12" s="4" t="s">
        <v>116</v>
      </c>
      <c r="G12" s="4" t="s">
        <v>110</v>
      </c>
      <c r="H12" s="4" t="s">
        <v>25</v>
      </c>
      <c r="I12" s="4" t="s">
        <v>46</v>
      </c>
      <c r="J12" s="4" t="s">
        <v>140</v>
      </c>
      <c r="K12" s="11">
        <v>44537</v>
      </c>
      <c r="L12" s="4" t="s">
        <v>141</v>
      </c>
      <c r="M12" s="4" t="s">
        <v>119</v>
      </c>
    </row>
    <row r="13" spans="1:15">
      <c r="A13" s="4">
        <v>268432</v>
      </c>
      <c r="B13" s="4" t="s">
        <v>106</v>
      </c>
      <c r="C13" s="4" t="s">
        <v>16</v>
      </c>
      <c r="D13" s="4" t="s">
        <v>121</v>
      </c>
      <c r="E13" s="22" t="s">
        <v>115</v>
      </c>
      <c r="F13" s="4" t="s">
        <v>109</v>
      </c>
      <c r="G13" s="4" t="s">
        <v>110</v>
      </c>
      <c r="H13" s="4" t="s">
        <v>25</v>
      </c>
      <c r="I13" s="4" t="s">
        <v>47</v>
      </c>
      <c r="J13" s="4" t="s">
        <v>140</v>
      </c>
      <c r="K13" s="11">
        <v>44537</v>
      </c>
      <c r="L13" s="4" t="s">
        <v>142</v>
      </c>
      <c r="M13" s="4" t="s">
        <v>124</v>
      </c>
    </row>
    <row r="14" spans="1:15">
      <c r="A14" s="4">
        <v>222744</v>
      </c>
      <c r="B14" s="4" t="s">
        <v>106</v>
      </c>
      <c r="C14" s="4" t="s">
        <v>17</v>
      </c>
      <c r="D14" s="4" t="s">
        <v>121</v>
      </c>
      <c r="E14" s="22" t="s">
        <v>115</v>
      </c>
      <c r="F14" s="4" t="s">
        <v>116</v>
      </c>
      <c r="G14" s="4" t="s">
        <v>110</v>
      </c>
      <c r="H14" s="4" t="s">
        <v>25</v>
      </c>
      <c r="I14" s="4" t="s">
        <v>143</v>
      </c>
      <c r="J14" s="4" t="s">
        <v>144</v>
      </c>
      <c r="K14" s="11">
        <v>44545</v>
      </c>
      <c r="L14" s="4" t="s">
        <v>145</v>
      </c>
      <c r="M14" s="4" t="s">
        <v>119</v>
      </c>
    </row>
    <row r="15" spans="1:15">
      <c r="A15" s="4">
        <v>219915</v>
      </c>
      <c r="B15" s="4" t="s">
        <v>106</v>
      </c>
      <c r="C15" s="4" t="s">
        <v>48</v>
      </c>
      <c r="D15" s="4" t="s">
        <v>125</v>
      </c>
      <c r="E15" s="22" t="s">
        <v>115</v>
      </c>
      <c r="F15" s="4" t="s">
        <v>109</v>
      </c>
      <c r="G15" s="4" t="s">
        <v>110</v>
      </c>
      <c r="H15" s="4" t="s">
        <v>25</v>
      </c>
      <c r="I15" s="4" t="s">
        <v>146</v>
      </c>
      <c r="J15" s="4" t="s">
        <v>144</v>
      </c>
      <c r="K15" s="11">
        <v>44498</v>
      </c>
      <c r="L15" s="4" t="s">
        <v>147</v>
      </c>
      <c r="M15" s="4" t="s">
        <v>113</v>
      </c>
    </row>
    <row r="16" spans="1:15">
      <c r="A16" s="4">
        <v>276379</v>
      </c>
      <c r="B16" s="4" t="s">
        <v>106</v>
      </c>
      <c r="C16" s="4" t="s">
        <v>49</v>
      </c>
      <c r="D16" s="4" t="s">
        <v>121</v>
      </c>
      <c r="E16" s="22" t="s">
        <v>115</v>
      </c>
      <c r="F16" s="4" t="s">
        <v>109</v>
      </c>
      <c r="G16" s="4" t="s">
        <v>110</v>
      </c>
      <c r="H16" s="4" t="s">
        <v>25</v>
      </c>
      <c r="I16" s="4" t="s">
        <v>50</v>
      </c>
      <c r="J16" s="4" t="s">
        <v>148</v>
      </c>
      <c r="K16" s="11">
        <v>44588</v>
      </c>
      <c r="L16" s="4" t="s">
        <v>149</v>
      </c>
      <c r="M16" s="4" t="s">
        <v>124</v>
      </c>
    </row>
    <row r="17" spans="1:13">
      <c r="A17" s="4">
        <v>169350</v>
      </c>
      <c r="B17" s="4" t="s">
        <v>106</v>
      </c>
      <c r="C17" s="4" t="s">
        <v>51</v>
      </c>
      <c r="D17" s="4" t="s">
        <v>121</v>
      </c>
      <c r="E17" s="22" t="s">
        <v>115</v>
      </c>
      <c r="F17" s="4" t="s">
        <v>109</v>
      </c>
      <c r="G17" s="4" t="s">
        <v>110</v>
      </c>
      <c r="H17" s="4" t="s">
        <v>25</v>
      </c>
      <c r="I17" s="4" t="s">
        <v>52</v>
      </c>
      <c r="J17" s="4" t="s">
        <v>150</v>
      </c>
      <c r="K17" s="11">
        <v>43236</v>
      </c>
      <c r="L17" s="4" t="s">
        <v>149</v>
      </c>
      <c r="M17" s="4" t="s">
        <v>124</v>
      </c>
    </row>
    <row r="18" spans="1:13">
      <c r="A18" s="4">
        <v>280699</v>
      </c>
      <c r="B18" s="4" t="s">
        <v>106</v>
      </c>
      <c r="C18" s="4" t="s">
        <v>53</v>
      </c>
      <c r="D18" s="4" t="s">
        <v>121</v>
      </c>
      <c r="E18" s="22" t="s">
        <v>115</v>
      </c>
      <c r="F18" s="4" t="s">
        <v>109</v>
      </c>
      <c r="G18" s="4" t="s">
        <v>110</v>
      </c>
      <c r="H18" s="4" t="s">
        <v>25</v>
      </c>
      <c r="I18" s="4" t="s">
        <v>54</v>
      </c>
      <c r="J18" s="4" t="s">
        <v>151</v>
      </c>
      <c r="K18" s="11">
        <v>44643</v>
      </c>
      <c r="L18" s="4" t="s">
        <v>152</v>
      </c>
      <c r="M18" s="4" t="s">
        <v>124</v>
      </c>
    </row>
    <row r="19" spans="1:13">
      <c r="A19" s="4">
        <v>280700</v>
      </c>
      <c r="B19" s="4" t="s">
        <v>106</v>
      </c>
      <c r="C19" s="4" t="s">
        <v>55</v>
      </c>
      <c r="D19" s="4" t="s">
        <v>128</v>
      </c>
      <c r="E19" s="22" t="s">
        <v>115</v>
      </c>
      <c r="F19" s="4" t="s">
        <v>109</v>
      </c>
      <c r="G19" s="4" t="s">
        <v>110</v>
      </c>
      <c r="H19" s="4" t="s">
        <v>34</v>
      </c>
      <c r="I19" s="4" t="s">
        <v>56</v>
      </c>
      <c r="J19" s="4" t="s">
        <v>151</v>
      </c>
      <c r="K19" s="11">
        <v>44634</v>
      </c>
      <c r="L19" s="4" t="s">
        <v>153</v>
      </c>
      <c r="M19" s="4" t="s">
        <v>113</v>
      </c>
    </row>
    <row r="20" spans="1:13">
      <c r="A20" s="4">
        <v>226158</v>
      </c>
      <c r="B20" s="4" t="s">
        <v>106</v>
      </c>
      <c r="C20" s="4" t="s">
        <v>18</v>
      </c>
      <c r="D20" s="4" t="s">
        <v>125</v>
      </c>
      <c r="E20" s="22" t="s">
        <v>115</v>
      </c>
      <c r="F20" s="4" t="s">
        <v>109</v>
      </c>
      <c r="G20" s="4" t="s">
        <v>110</v>
      </c>
      <c r="H20" s="4" t="s">
        <v>31</v>
      </c>
      <c r="I20" s="2" t="s">
        <v>154</v>
      </c>
      <c r="J20" s="4" t="s">
        <v>155</v>
      </c>
      <c r="K20" s="11">
        <v>44714</v>
      </c>
      <c r="L20" s="4" t="s">
        <v>156</v>
      </c>
      <c r="M20" s="4" t="s">
        <v>157</v>
      </c>
    </row>
    <row r="21" spans="1:13">
      <c r="A21" s="4">
        <v>174832</v>
      </c>
      <c r="B21" s="4" t="s">
        <v>158</v>
      </c>
      <c r="C21" s="4" t="s">
        <v>19</v>
      </c>
      <c r="D21" s="4" t="s">
        <v>125</v>
      </c>
      <c r="E21" s="22" t="s">
        <v>115</v>
      </c>
      <c r="F21" s="4" t="s">
        <v>116</v>
      </c>
      <c r="G21" s="4" t="s">
        <v>110</v>
      </c>
      <c r="H21" s="4" t="s">
        <v>34</v>
      </c>
      <c r="I21" s="4" t="s">
        <v>57</v>
      </c>
      <c r="J21" s="4" t="s">
        <v>159</v>
      </c>
      <c r="K21" s="11">
        <v>43325</v>
      </c>
      <c r="L21" s="4" t="s">
        <v>160</v>
      </c>
      <c r="M21" s="4" t="s">
        <v>161</v>
      </c>
    </row>
    <row r="22" spans="1:13">
      <c r="A22" s="4">
        <v>279149</v>
      </c>
      <c r="B22" s="4" t="s">
        <v>158</v>
      </c>
      <c r="C22" s="4" t="s">
        <v>162</v>
      </c>
      <c r="D22" s="4" t="s">
        <v>125</v>
      </c>
      <c r="E22" s="21" t="s">
        <v>115</v>
      </c>
      <c r="F22" s="4" t="s">
        <v>109</v>
      </c>
      <c r="G22" s="4" t="s">
        <v>110</v>
      </c>
      <c r="H22" s="4" t="s">
        <v>25</v>
      </c>
      <c r="I22" s="4" t="s">
        <v>163</v>
      </c>
      <c r="J22" s="4" t="s">
        <v>120</v>
      </c>
      <c r="K22" s="11">
        <v>44628</v>
      </c>
      <c r="L22" s="4" t="s">
        <v>164</v>
      </c>
      <c r="M22" s="4" t="s">
        <v>161</v>
      </c>
    </row>
    <row r="23" spans="1:13">
      <c r="A23" s="4">
        <v>279148</v>
      </c>
      <c r="B23" s="4" t="s">
        <v>158</v>
      </c>
      <c r="C23" s="4" t="s">
        <v>165</v>
      </c>
      <c r="D23" s="4" t="s">
        <v>125</v>
      </c>
      <c r="E23" s="21" t="s">
        <v>115</v>
      </c>
      <c r="F23" s="4" t="s">
        <v>109</v>
      </c>
      <c r="G23" s="4" t="s">
        <v>110</v>
      </c>
      <c r="H23" s="4" t="s">
        <v>25</v>
      </c>
      <c r="I23" s="4" t="s">
        <v>166</v>
      </c>
      <c r="J23" s="4" t="s">
        <v>120</v>
      </c>
      <c r="K23" s="11">
        <v>44628</v>
      </c>
      <c r="L23" s="4" t="s">
        <v>164</v>
      </c>
      <c r="M23" s="4" t="s">
        <v>161</v>
      </c>
    </row>
    <row r="24" spans="1:13">
      <c r="A24" s="4">
        <v>122582</v>
      </c>
      <c r="B24" s="4" t="s">
        <v>167</v>
      </c>
      <c r="C24" s="4" t="s">
        <v>168</v>
      </c>
      <c r="D24" s="4" t="s">
        <v>125</v>
      </c>
      <c r="E24" s="4" t="s">
        <v>115</v>
      </c>
      <c r="F24" s="4" t="s">
        <v>109</v>
      </c>
      <c r="G24" s="4" t="s">
        <v>110</v>
      </c>
      <c r="H24" s="4" t="s">
        <v>25</v>
      </c>
      <c r="I24" s="4" t="s">
        <v>169</v>
      </c>
      <c r="J24" s="4" t="s">
        <v>159</v>
      </c>
      <c r="K24" s="11">
        <v>42472</v>
      </c>
      <c r="L24" s="4" t="s">
        <v>170</v>
      </c>
      <c r="M24" s="4" t="s">
        <v>171</v>
      </c>
    </row>
    <row r="25" spans="1:13">
      <c r="A25" s="4">
        <v>234570</v>
      </c>
      <c r="B25" s="4" t="s">
        <v>172</v>
      </c>
      <c r="C25" s="4" t="s">
        <v>173</v>
      </c>
      <c r="D25" s="4" t="s">
        <v>114</v>
      </c>
      <c r="E25" s="4" t="s">
        <v>115</v>
      </c>
      <c r="F25" s="4" t="s">
        <v>109</v>
      </c>
      <c r="G25" s="4" t="s">
        <v>110</v>
      </c>
      <c r="H25" s="4" t="s">
        <v>25</v>
      </c>
      <c r="I25" s="4" t="s">
        <v>174</v>
      </c>
      <c r="J25" s="4" t="s">
        <v>159</v>
      </c>
      <c r="K25" s="11">
        <v>44182</v>
      </c>
      <c r="L25" s="4" t="s">
        <v>175</v>
      </c>
      <c r="M25" s="4" t="s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99389629810485"/>
  </sheetPr>
  <dimension ref="A1:M61"/>
  <sheetViews>
    <sheetView zoomScale="85" zoomScaleNormal="85" workbookViewId="0"/>
  </sheetViews>
  <sheetFormatPr defaultColWidth="17.7109375" defaultRowHeight="14.45"/>
  <cols>
    <col min="1" max="1" width="17.7109375" style="12"/>
    <col min="2" max="12" width="17.7109375" style="2"/>
    <col min="13" max="13" width="17.7109375" style="14"/>
    <col min="14" max="16384" width="17.7109375" style="2"/>
  </cols>
  <sheetData>
    <row r="1" spans="1:13">
      <c r="A1" s="16" t="s">
        <v>75</v>
      </c>
      <c r="B1" s="15" t="s">
        <v>2</v>
      </c>
      <c r="C1" s="15" t="s">
        <v>102</v>
      </c>
      <c r="D1" s="15" t="s">
        <v>3</v>
      </c>
      <c r="E1" s="15" t="s">
        <v>13</v>
      </c>
      <c r="F1" s="15" t="s">
        <v>176</v>
      </c>
      <c r="G1" s="15" t="s">
        <v>4</v>
      </c>
      <c r="H1" s="15" t="s">
        <v>103</v>
      </c>
      <c r="I1" s="15" t="s">
        <v>14</v>
      </c>
      <c r="J1" s="15" t="s">
        <v>104</v>
      </c>
      <c r="K1" s="15" t="s">
        <v>105</v>
      </c>
      <c r="L1" s="15" t="s">
        <v>76</v>
      </c>
      <c r="M1" s="17" t="s">
        <v>177</v>
      </c>
    </row>
    <row r="2" spans="1:13">
      <c r="A2" s="11">
        <v>44682</v>
      </c>
      <c r="B2" s="4">
        <v>217042</v>
      </c>
      <c r="C2" s="4" t="s">
        <v>106</v>
      </c>
      <c r="D2" s="4" t="s">
        <v>178</v>
      </c>
      <c r="E2" s="4" t="s">
        <v>132</v>
      </c>
      <c r="F2" s="4" t="s">
        <v>109</v>
      </c>
      <c r="G2" s="4" t="s">
        <v>115</v>
      </c>
      <c r="H2" s="4" t="s">
        <v>179</v>
      </c>
      <c r="I2" s="4" t="s">
        <v>114</v>
      </c>
      <c r="J2" s="4" t="s">
        <v>180</v>
      </c>
      <c r="K2" s="4" t="s">
        <v>119</v>
      </c>
      <c r="L2" s="4">
        <v>0</v>
      </c>
      <c r="M2" s="13">
        <v>0</v>
      </c>
    </row>
    <row r="3" spans="1:13">
      <c r="A3" s="11">
        <v>44682</v>
      </c>
      <c r="B3" s="4">
        <v>234908</v>
      </c>
      <c r="C3" s="4" t="s">
        <v>106</v>
      </c>
      <c r="D3" s="4" t="s">
        <v>79</v>
      </c>
      <c r="E3" s="4" t="s">
        <v>110</v>
      </c>
      <c r="F3" s="4" t="s">
        <v>116</v>
      </c>
      <c r="G3" s="4" t="s">
        <v>126</v>
      </c>
      <c r="H3" s="4" t="s">
        <v>181</v>
      </c>
      <c r="I3" s="4" t="s">
        <v>121</v>
      </c>
      <c r="J3" s="4" t="s">
        <v>134</v>
      </c>
      <c r="K3" s="4" t="s">
        <v>119</v>
      </c>
      <c r="L3" s="4">
        <v>1</v>
      </c>
      <c r="M3" s="13">
        <v>3.5879629629629629E-3</v>
      </c>
    </row>
    <row r="4" spans="1:13">
      <c r="A4" s="11">
        <v>44682</v>
      </c>
      <c r="B4" s="4">
        <v>240822</v>
      </c>
      <c r="C4" s="4" t="s">
        <v>106</v>
      </c>
      <c r="D4" s="4" t="s">
        <v>182</v>
      </c>
      <c r="E4" s="4" t="s">
        <v>132</v>
      </c>
      <c r="F4" s="4" t="s">
        <v>109</v>
      </c>
      <c r="G4" s="4" t="s">
        <v>115</v>
      </c>
      <c r="H4" s="4" t="s">
        <v>183</v>
      </c>
      <c r="I4" s="4" t="s">
        <v>121</v>
      </c>
      <c r="J4" s="4" t="s">
        <v>134</v>
      </c>
      <c r="K4" s="4" t="s">
        <v>119</v>
      </c>
      <c r="L4" s="4">
        <v>0</v>
      </c>
      <c r="M4" s="13">
        <v>0</v>
      </c>
    </row>
    <row r="5" spans="1:13">
      <c r="A5" s="11">
        <v>44682</v>
      </c>
      <c r="B5" s="4">
        <v>138885</v>
      </c>
      <c r="C5" s="4" t="s">
        <v>106</v>
      </c>
      <c r="D5" s="4" t="s">
        <v>184</v>
      </c>
      <c r="E5" s="4" t="s">
        <v>110</v>
      </c>
      <c r="F5" s="4" t="s">
        <v>116</v>
      </c>
      <c r="G5" s="4" t="s">
        <v>115</v>
      </c>
      <c r="H5" s="4" t="s">
        <v>130</v>
      </c>
      <c r="I5" s="4" t="s">
        <v>114</v>
      </c>
      <c r="J5" s="4" t="s">
        <v>134</v>
      </c>
      <c r="K5" s="4" t="s">
        <v>119</v>
      </c>
      <c r="L5" s="4">
        <v>0</v>
      </c>
      <c r="M5" s="13">
        <v>0</v>
      </c>
    </row>
    <row r="6" spans="1:13">
      <c r="A6" s="11">
        <v>44682</v>
      </c>
      <c r="B6" s="4">
        <v>225722</v>
      </c>
      <c r="C6" s="4" t="s">
        <v>106</v>
      </c>
      <c r="D6" s="4" t="s">
        <v>185</v>
      </c>
      <c r="E6" s="4" t="s">
        <v>110</v>
      </c>
      <c r="F6" s="4" t="s">
        <v>109</v>
      </c>
      <c r="G6" s="4" t="s">
        <v>115</v>
      </c>
      <c r="H6" s="4" t="s">
        <v>186</v>
      </c>
      <c r="I6" s="4" t="s">
        <v>114</v>
      </c>
      <c r="J6" s="4" t="s">
        <v>187</v>
      </c>
      <c r="K6" s="4" t="s">
        <v>138</v>
      </c>
      <c r="L6" s="4">
        <v>0</v>
      </c>
      <c r="M6" s="13">
        <v>0</v>
      </c>
    </row>
    <row r="7" spans="1:13">
      <c r="A7" s="11">
        <v>44682</v>
      </c>
      <c r="B7" s="4">
        <v>235194</v>
      </c>
      <c r="C7" s="4" t="s">
        <v>106</v>
      </c>
      <c r="D7" s="4" t="s">
        <v>188</v>
      </c>
      <c r="E7" s="4" t="s">
        <v>110</v>
      </c>
      <c r="F7" s="4" t="s">
        <v>116</v>
      </c>
      <c r="G7" s="4" t="s">
        <v>115</v>
      </c>
      <c r="H7" s="4" t="s">
        <v>133</v>
      </c>
      <c r="I7" s="4" t="s">
        <v>125</v>
      </c>
      <c r="J7" s="4" t="s">
        <v>118</v>
      </c>
      <c r="K7" s="4" t="s">
        <v>119</v>
      </c>
      <c r="L7" s="4">
        <v>0</v>
      </c>
      <c r="M7" s="13">
        <v>0</v>
      </c>
    </row>
    <row r="8" spans="1:13">
      <c r="A8" s="11">
        <v>44682</v>
      </c>
      <c r="B8" s="4">
        <v>254125</v>
      </c>
      <c r="C8" s="4" t="s">
        <v>106</v>
      </c>
      <c r="D8" s="4" t="s">
        <v>80</v>
      </c>
      <c r="E8" s="4" t="s">
        <v>110</v>
      </c>
      <c r="F8" s="4" t="s">
        <v>116</v>
      </c>
      <c r="G8" s="4" t="s">
        <v>115</v>
      </c>
      <c r="H8" s="4" t="s">
        <v>189</v>
      </c>
      <c r="I8" s="4" t="s">
        <v>125</v>
      </c>
      <c r="J8" s="4" t="s">
        <v>135</v>
      </c>
      <c r="K8" s="4" t="s">
        <v>119</v>
      </c>
      <c r="L8" s="4">
        <v>7</v>
      </c>
      <c r="M8" s="13">
        <v>0.19949074074074072</v>
      </c>
    </row>
    <row r="9" spans="1:13">
      <c r="A9" s="11">
        <v>44682</v>
      </c>
      <c r="B9" s="4">
        <v>226112</v>
      </c>
      <c r="C9" s="4" t="s">
        <v>106</v>
      </c>
      <c r="D9" s="4" t="s">
        <v>77</v>
      </c>
      <c r="E9" s="4" t="s">
        <v>110</v>
      </c>
      <c r="F9" s="4" t="s">
        <v>109</v>
      </c>
      <c r="G9" s="4" t="s">
        <v>115</v>
      </c>
      <c r="H9" s="4" t="s">
        <v>136</v>
      </c>
      <c r="I9" s="4" t="s">
        <v>121</v>
      </c>
      <c r="J9" s="4" t="s">
        <v>142</v>
      </c>
      <c r="K9" s="4" t="s">
        <v>124</v>
      </c>
      <c r="L9" s="4">
        <v>12</v>
      </c>
      <c r="M9" s="13">
        <v>0.10266203703703704</v>
      </c>
    </row>
    <row r="10" spans="1:13">
      <c r="A10" s="11">
        <v>44682</v>
      </c>
      <c r="B10" s="4">
        <v>273659</v>
      </c>
      <c r="C10" s="4" t="s">
        <v>106</v>
      </c>
      <c r="D10" s="4" t="s">
        <v>78</v>
      </c>
      <c r="E10" s="4" t="s">
        <v>110</v>
      </c>
      <c r="F10" s="4" t="s">
        <v>109</v>
      </c>
      <c r="G10" s="4" t="s">
        <v>115</v>
      </c>
      <c r="H10" s="4" t="s">
        <v>190</v>
      </c>
      <c r="I10" s="4" t="s">
        <v>114</v>
      </c>
      <c r="J10" s="4" t="s">
        <v>191</v>
      </c>
      <c r="K10" s="4" t="s">
        <v>138</v>
      </c>
      <c r="L10" s="4">
        <v>6</v>
      </c>
      <c r="M10" s="13">
        <v>0.15136574074074072</v>
      </c>
    </row>
    <row r="11" spans="1:13">
      <c r="A11" s="11">
        <v>44682</v>
      </c>
      <c r="B11" s="4">
        <v>233169</v>
      </c>
      <c r="C11" s="4" t="s">
        <v>172</v>
      </c>
      <c r="D11" s="4" t="s">
        <v>192</v>
      </c>
      <c r="E11" s="4" t="s">
        <v>110</v>
      </c>
      <c r="F11" s="4" t="s">
        <v>109</v>
      </c>
      <c r="G11" s="4" t="s">
        <v>115</v>
      </c>
      <c r="H11" s="4" t="s">
        <v>159</v>
      </c>
      <c r="I11" s="4" t="s">
        <v>114</v>
      </c>
      <c r="J11" s="4" t="s">
        <v>175</v>
      </c>
      <c r="K11" s="4" t="s">
        <v>171</v>
      </c>
      <c r="L11" s="4">
        <v>0</v>
      </c>
      <c r="M11" s="13">
        <v>0</v>
      </c>
    </row>
    <row r="12" spans="1:13">
      <c r="A12" s="11">
        <v>44682</v>
      </c>
      <c r="B12" s="4">
        <v>266877</v>
      </c>
      <c r="C12" s="4" t="s">
        <v>158</v>
      </c>
      <c r="D12" s="4" t="s">
        <v>193</v>
      </c>
      <c r="E12" s="4" t="s">
        <v>132</v>
      </c>
      <c r="F12" s="4" t="s">
        <v>109</v>
      </c>
      <c r="G12" s="4" t="s">
        <v>115</v>
      </c>
      <c r="H12" s="4" t="s">
        <v>159</v>
      </c>
      <c r="I12" s="4" t="s">
        <v>125</v>
      </c>
      <c r="J12" s="4" t="s">
        <v>194</v>
      </c>
      <c r="K12" s="4" t="s">
        <v>161</v>
      </c>
      <c r="L12" s="4">
        <v>0</v>
      </c>
      <c r="M12" s="13">
        <v>0</v>
      </c>
    </row>
    <row r="13" spans="1:13">
      <c r="A13" s="11">
        <v>44682</v>
      </c>
      <c r="B13" s="4">
        <v>200018</v>
      </c>
      <c r="C13" s="4" t="s">
        <v>158</v>
      </c>
      <c r="D13" s="4" t="s">
        <v>195</v>
      </c>
      <c r="E13" s="4" t="s">
        <v>110</v>
      </c>
      <c r="F13" s="4" t="s">
        <v>109</v>
      </c>
      <c r="G13" s="4" t="s">
        <v>115</v>
      </c>
      <c r="H13" s="4" t="s">
        <v>111</v>
      </c>
      <c r="I13" s="4" t="s">
        <v>125</v>
      </c>
      <c r="J13" s="4" t="s">
        <v>196</v>
      </c>
      <c r="K13" s="4" t="s">
        <v>161</v>
      </c>
      <c r="L13" s="4">
        <v>0</v>
      </c>
      <c r="M13" s="13">
        <v>0</v>
      </c>
    </row>
    <row r="14" spans="1:13">
      <c r="A14" s="11">
        <v>44683</v>
      </c>
      <c r="B14" s="4">
        <v>217042</v>
      </c>
      <c r="C14" s="4" t="s">
        <v>106</v>
      </c>
      <c r="D14" s="4" t="s">
        <v>178</v>
      </c>
      <c r="E14" s="4" t="s">
        <v>132</v>
      </c>
      <c r="F14" s="4" t="s">
        <v>109</v>
      </c>
      <c r="G14" s="4" t="s">
        <v>115</v>
      </c>
      <c r="H14" s="4" t="s">
        <v>179</v>
      </c>
      <c r="I14" s="4" t="s">
        <v>114</v>
      </c>
      <c r="J14" s="4" t="s">
        <v>180</v>
      </c>
      <c r="K14" s="4" t="s">
        <v>119</v>
      </c>
      <c r="L14" s="4">
        <v>7</v>
      </c>
      <c r="M14" s="13">
        <v>6.4317129629629627E-2</v>
      </c>
    </row>
    <row r="15" spans="1:13">
      <c r="A15" s="11">
        <v>44683</v>
      </c>
      <c r="B15" s="4">
        <v>234908</v>
      </c>
      <c r="C15" s="4" t="s">
        <v>106</v>
      </c>
      <c r="D15" s="4" t="s">
        <v>79</v>
      </c>
      <c r="E15" s="4" t="s">
        <v>110</v>
      </c>
      <c r="F15" s="4" t="s">
        <v>116</v>
      </c>
      <c r="G15" s="4" t="s">
        <v>126</v>
      </c>
      <c r="H15" s="4" t="s">
        <v>181</v>
      </c>
      <c r="I15" s="4" t="s">
        <v>121</v>
      </c>
      <c r="J15" s="4" t="s">
        <v>134</v>
      </c>
      <c r="K15" s="4" t="s">
        <v>119</v>
      </c>
      <c r="L15" s="4">
        <v>4</v>
      </c>
      <c r="M15" s="13">
        <v>5.4884259259259258E-2</v>
      </c>
    </row>
    <row r="16" spans="1:13">
      <c r="A16" s="11">
        <v>44683</v>
      </c>
      <c r="B16" s="4">
        <v>240822</v>
      </c>
      <c r="C16" s="4" t="s">
        <v>106</v>
      </c>
      <c r="D16" s="4" t="s">
        <v>182</v>
      </c>
      <c r="E16" s="4" t="s">
        <v>132</v>
      </c>
      <c r="F16" s="4" t="s">
        <v>109</v>
      </c>
      <c r="G16" s="4" t="s">
        <v>115</v>
      </c>
      <c r="H16" s="4" t="s">
        <v>183</v>
      </c>
      <c r="I16" s="4" t="s">
        <v>121</v>
      </c>
      <c r="J16" s="4" t="s">
        <v>134</v>
      </c>
      <c r="K16" s="4" t="s">
        <v>119</v>
      </c>
      <c r="L16" s="4">
        <v>2</v>
      </c>
      <c r="M16" s="13">
        <v>1.8622685185185183E-2</v>
      </c>
    </row>
    <row r="17" spans="1:13">
      <c r="A17" s="11">
        <v>44683</v>
      </c>
      <c r="B17" s="4">
        <v>138885</v>
      </c>
      <c r="C17" s="4" t="s">
        <v>106</v>
      </c>
      <c r="D17" s="4" t="s">
        <v>184</v>
      </c>
      <c r="E17" s="4" t="s">
        <v>110</v>
      </c>
      <c r="F17" s="4" t="s">
        <v>116</v>
      </c>
      <c r="G17" s="4" t="s">
        <v>115</v>
      </c>
      <c r="H17" s="4" t="s">
        <v>130</v>
      </c>
      <c r="I17" s="4" t="s">
        <v>114</v>
      </c>
      <c r="J17" s="4" t="s">
        <v>134</v>
      </c>
      <c r="K17" s="4" t="s">
        <v>119</v>
      </c>
      <c r="L17" s="4">
        <v>1</v>
      </c>
      <c r="M17" s="13">
        <v>2.3078703703703702E-2</v>
      </c>
    </row>
    <row r="18" spans="1:13">
      <c r="A18" s="11">
        <v>44683</v>
      </c>
      <c r="B18" s="4">
        <v>225722</v>
      </c>
      <c r="C18" s="4" t="s">
        <v>106</v>
      </c>
      <c r="D18" s="4" t="s">
        <v>185</v>
      </c>
      <c r="E18" s="4" t="s">
        <v>110</v>
      </c>
      <c r="F18" s="4" t="s">
        <v>109</v>
      </c>
      <c r="G18" s="4" t="s">
        <v>115</v>
      </c>
      <c r="H18" s="4" t="s">
        <v>186</v>
      </c>
      <c r="I18" s="4" t="s">
        <v>114</v>
      </c>
      <c r="J18" s="4" t="s">
        <v>187</v>
      </c>
      <c r="K18" s="4" t="s">
        <v>138</v>
      </c>
      <c r="L18" s="4">
        <v>17</v>
      </c>
      <c r="M18" s="13">
        <v>0.1554861111111111</v>
      </c>
    </row>
    <row r="19" spans="1:13">
      <c r="A19" s="11">
        <v>44683</v>
      </c>
      <c r="B19" s="4">
        <v>235194</v>
      </c>
      <c r="C19" s="4" t="s">
        <v>106</v>
      </c>
      <c r="D19" s="4" t="s">
        <v>188</v>
      </c>
      <c r="E19" s="4" t="s">
        <v>110</v>
      </c>
      <c r="F19" s="4" t="s">
        <v>116</v>
      </c>
      <c r="G19" s="4" t="s">
        <v>115</v>
      </c>
      <c r="H19" s="4" t="s">
        <v>133</v>
      </c>
      <c r="I19" s="4" t="s">
        <v>125</v>
      </c>
      <c r="J19" s="4" t="s">
        <v>118</v>
      </c>
      <c r="K19" s="4" t="s">
        <v>119</v>
      </c>
      <c r="L19" s="4">
        <v>0</v>
      </c>
      <c r="M19" s="13">
        <v>0</v>
      </c>
    </row>
    <row r="20" spans="1:13">
      <c r="A20" s="11">
        <v>44683</v>
      </c>
      <c r="B20" s="4">
        <v>254125</v>
      </c>
      <c r="C20" s="4" t="s">
        <v>106</v>
      </c>
      <c r="D20" s="4" t="s">
        <v>80</v>
      </c>
      <c r="E20" s="4" t="s">
        <v>110</v>
      </c>
      <c r="F20" s="4" t="s">
        <v>116</v>
      </c>
      <c r="G20" s="4" t="s">
        <v>115</v>
      </c>
      <c r="H20" s="4" t="s">
        <v>189</v>
      </c>
      <c r="I20" s="4" t="s">
        <v>125</v>
      </c>
      <c r="J20" s="4" t="s">
        <v>135</v>
      </c>
      <c r="K20" s="4" t="s">
        <v>119</v>
      </c>
      <c r="L20" s="4">
        <v>14</v>
      </c>
      <c r="M20" s="13">
        <v>0.21604166666666669</v>
      </c>
    </row>
    <row r="21" spans="1:13">
      <c r="A21" s="11">
        <v>44683</v>
      </c>
      <c r="B21" s="4">
        <v>226112</v>
      </c>
      <c r="C21" s="4" t="s">
        <v>106</v>
      </c>
      <c r="D21" s="4" t="s">
        <v>77</v>
      </c>
      <c r="E21" s="4" t="s">
        <v>110</v>
      </c>
      <c r="F21" s="4" t="s">
        <v>109</v>
      </c>
      <c r="G21" s="4" t="s">
        <v>115</v>
      </c>
      <c r="H21" s="4" t="s">
        <v>136</v>
      </c>
      <c r="I21" s="4" t="s">
        <v>121</v>
      </c>
      <c r="J21" s="4" t="s">
        <v>142</v>
      </c>
      <c r="K21" s="4" t="s">
        <v>124</v>
      </c>
      <c r="L21" s="4">
        <v>10</v>
      </c>
      <c r="M21" s="13">
        <v>0.11077546296296296</v>
      </c>
    </row>
    <row r="22" spans="1:13">
      <c r="A22" s="11">
        <v>44683</v>
      </c>
      <c r="B22" s="4">
        <v>273659</v>
      </c>
      <c r="C22" s="4" t="s">
        <v>106</v>
      </c>
      <c r="D22" s="4" t="s">
        <v>78</v>
      </c>
      <c r="E22" s="4" t="s">
        <v>110</v>
      </c>
      <c r="F22" s="4" t="s">
        <v>109</v>
      </c>
      <c r="G22" s="4" t="s">
        <v>115</v>
      </c>
      <c r="H22" s="4" t="s">
        <v>190</v>
      </c>
      <c r="I22" s="4" t="s">
        <v>114</v>
      </c>
      <c r="J22" s="4" t="s">
        <v>191</v>
      </c>
      <c r="K22" s="4" t="s">
        <v>138</v>
      </c>
      <c r="L22" s="4">
        <v>10</v>
      </c>
      <c r="M22" s="13">
        <v>0.13870370370370372</v>
      </c>
    </row>
    <row r="23" spans="1:13">
      <c r="A23" s="11">
        <v>44683</v>
      </c>
      <c r="B23" s="4">
        <v>233169</v>
      </c>
      <c r="C23" s="4" t="s">
        <v>172</v>
      </c>
      <c r="D23" s="4" t="s">
        <v>192</v>
      </c>
      <c r="E23" s="4" t="s">
        <v>110</v>
      </c>
      <c r="F23" s="4" t="s">
        <v>109</v>
      </c>
      <c r="G23" s="4" t="s">
        <v>115</v>
      </c>
      <c r="H23" s="4" t="s">
        <v>159</v>
      </c>
      <c r="I23" s="4" t="s">
        <v>114</v>
      </c>
      <c r="J23" s="4" t="s">
        <v>175</v>
      </c>
      <c r="K23" s="4" t="s">
        <v>171</v>
      </c>
      <c r="L23" s="4">
        <v>2</v>
      </c>
      <c r="M23" s="13">
        <v>1.579861111111111E-2</v>
      </c>
    </row>
    <row r="24" spans="1:13">
      <c r="A24" s="11">
        <v>44683</v>
      </c>
      <c r="B24" s="4">
        <v>266877</v>
      </c>
      <c r="C24" s="4" t="s">
        <v>158</v>
      </c>
      <c r="D24" s="4" t="s">
        <v>193</v>
      </c>
      <c r="E24" s="4" t="s">
        <v>132</v>
      </c>
      <c r="F24" s="4" t="s">
        <v>109</v>
      </c>
      <c r="G24" s="4" t="s">
        <v>115</v>
      </c>
      <c r="H24" s="4" t="s">
        <v>159</v>
      </c>
      <c r="I24" s="4" t="s">
        <v>125</v>
      </c>
      <c r="J24" s="4" t="s">
        <v>194</v>
      </c>
      <c r="K24" s="4" t="s">
        <v>161</v>
      </c>
      <c r="L24" s="4">
        <v>0</v>
      </c>
      <c r="M24" s="13">
        <v>0</v>
      </c>
    </row>
    <row r="25" spans="1:13">
      <c r="A25" s="11">
        <v>44683</v>
      </c>
      <c r="B25" s="4">
        <v>200018</v>
      </c>
      <c r="C25" s="4" t="s">
        <v>158</v>
      </c>
      <c r="D25" s="4" t="s">
        <v>195</v>
      </c>
      <c r="E25" s="4" t="s">
        <v>110</v>
      </c>
      <c r="F25" s="4" t="s">
        <v>109</v>
      </c>
      <c r="G25" s="4" t="s">
        <v>115</v>
      </c>
      <c r="H25" s="4" t="s">
        <v>111</v>
      </c>
      <c r="I25" s="4" t="s">
        <v>125</v>
      </c>
      <c r="J25" s="4" t="s">
        <v>196</v>
      </c>
      <c r="K25" s="4" t="s">
        <v>161</v>
      </c>
      <c r="L25" s="4">
        <v>0</v>
      </c>
      <c r="M25" s="13">
        <v>0</v>
      </c>
    </row>
    <row r="26" spans="1:13">
      <c r="A26" s="11">
        <v>44684</v>
      </c>
      <c r="B26" s="4">
        <v>217042</v>
      </c>
      <c r="C26" s="4" t="s">
        <v>106</v>
      </c>
      <c r="D26" s="4" t="s">
        <v>178</v>
      </c>
      <c r="E26" s="4" t="s">
        <v>132</v>
      </c>
      <c r="F26" s="4" t="s">
        <v>109</v>
      </c>
      <c r="G26" s="4" t="s">
        <v>115</v>
      </c>
      <c r="H26" s="4" t="s">
        <v>179</v>
      </c>
      <c r="I26" s="4" t="s">
        <v>114</v>
      </c>
      <c r="J26" s="4" t="s">
        <v>180</v>
      </c>
      <c r="K26" s="4" t="s">
        <v>119</v>
      </c>
      <c r="L26" s="4">
        <v>4</v>
      </c>
      <c r="M26" s="13">
        <v>3.5104166666666665E-2</v>
      </c>
    </row>
    <row r="27" spans="1:13">
      <c r="A27" s="11">
        <v>44684</v>
      </c>
      <c r="B27" s="4">
        <v>234908</v>
      </c>
      <c r="C27" s="4" t="s">
        <v>106</v>
      </c>
      <c r="D27" s="4" t="s">
        <v>79</v>
      </c>
      <c r="E27" s="4" t="s">
        <v>110</v>
      </c>
      <c r="F27" s="4" t="s">
        <v>116</v>
      </c>
      <c r="G27" s="4" t="s">
        <v>126</v>
      </c>
      <c r="H27" s="4" t="s">
        <v>181</v>
      </c>
      <c r="I27" s="4" t="s">
        <v>121</v>
      </c>
      <c r="J27" s="4" t="s">
        <v>134</v>
      </c>
      <c r="K27" s="4" t="s">
        <v>119</v>
      </c>
      <c r="L27" s="4">
        <v>0</v>
      </c>
      <c r="M27" s="13">
        <v>0</v>
      </c>
    </row>
    <row r="28" spans="1:13">
      <c r="A28" s="11">
        <v>44684</v>
      </c>
      <c r="B28" s="4">
        <v>240822</v>
      </c>
      <c r="C28" s="4" t="s">
        <v>106</v>
      </c>
      <c r="D28" s="4" t="s">
        <v>182</v>
      </c>
      <c r="E28" s="4" t="s">
        <v>132</v>
      </c>
      <c r="F28" s="4" t="s">
        <v>109</v>
      </c>
      <c r="G28" s="4" t="s">
        <v>115</v>
      </c>
      <c r="H28" s="4" t="s">
        <v>183</v>
      </c>
      <c r="I28" s="4" t="s">
        <v>121</v>
      </c>
      <c r="J28" s="4" t="s">
        <v>134</v>
      </c>
      <c r="K28" s="4" t="s">
        <v>119</v>
      </c>
      <c r="L28" s="4">
        <v>0</v>
      </c>
      <c r="M28" s="13">
        <v>0</v>
      </c>
    </row>
    <row r="29" spans="1:13">
      <c r="A29" s="11">
        <v>44684</v>
      </c>
      <c r="B29" s="4">
        <v>138885</v>
      </c>
      <c r="C29" s="4" t="s">
        <v>106</v>
      </c>
      <c r="D29" s="4" t="s">
        <v>184</v>
      </c>
      <c r="E29" s="4" t="s">
        <v>110</v>
      </c>
      <c r="F29" s="4" t="s">
        <v>116</v>
      </c>
      <c r="G29" s="4" t="s">
        <v>115</v>
      </c>
      <c r="H29" s="4" t="s">
        <v>130</v>
      </c>
      <c r="I29" s="4" t="s">
        <v>114</v>
      </c>
      <c r="J29" s="4" t="s">
        <v>134</v>
      </c>
      <c r="K29" s="4" t="s">
        <v>119</v>
      </c>
      <c r="L29" s="4">
        <v>1</v>
      </c>
      <c r="M29" s="13">
        <v>6.2500000000000001E-4</v>
      </c>
    </row>
    <row r="30" spans="1:13">
      <c r="A30" s="11">
        <v>44684</v>
      </c>
      <c r="B30" s="4">
        <v>225722</v>
      </c>
      <c r="C30" s="4" t="s">
        <v>106</v>
      </c>
      <c r="D30" s="4" t="s">
        <v>185</v>
      </c>
      <c r="E30" s="4" t="s">
        <v>110</v>
      </c>
      <c r="F30" s="4" t="s">
        <v>109</v>
      </c>
      <c r="G30" s="4" t="s">
        <v>115</v>
      </c>
      <c r="H30" s="4" t="s">
        <v>186</v>
      </c>
      <c r="I30" s="4" t="s">
        <v>114</v>
      </c>
      <c r="J30" s="4" t="s">
        <v>187</v>
      </c>
      <c r="K30" s="4" t="s">
        <v>138</v>
      </c>
      <c r="L30" s="4">
        <v>19</v>
      </c>
      <c r="M30" s="13">
        <v>0.27031250000000001</v>
      </c>
    </row>
    <row r="31" spans="1:13">
      <c r="A31" s="11">
        <v>44684</v>
      </c>
      <c r="B31" s="4">
        <v>235194</v>
      </c>
      <c r="C31" s="4" t="s">
        <v>106</v>
      </c>
      <c r="D31" s="4" t="s">
        <v>188</v>
      </c>
      <c r="E31" s="4" t="s">
        <v>110</v>
      </c>
      <c r="F31" s="4" t="s">
        <v>116</v>
      </c>
      <c r="G31" s="4" t="s">
        <v>115</v>
      </c>
      <c r="H31" s="4" t="s">
        <v>133</v>
      </c>
      <c r="I31" s="4" t="s">
        <v>125</v>
      </c>
      <c r="J31" s="4" t="s">
        <v>118</v>
      </c>
      <c r="K31" s="4" t="s">
        <v>119</v>
      </c>
      <c r="L31" s="4">
        <v>2</v>
      </c>
      <c r="M31" s="13">
        <v>1.0416666666666666E-2</v>
      </c>
    </row>
    <row r="32" spans="1:13">
      <c r="A32" s="11">
        <v>44684</v>
      </c>
      <c r="B32" s="4">
        <v>254125</v>
      </c>
      <c r="C32" s="4" t="s">
        <v>106</v>
      </c>
      <c r="D32" s="4" t="s">
        <v>80</v>
      </c>
      <c r="E32" s="4" t="s">
        <v>110</v>
      </c>
      <c r="F32" s="4" t="s">
        <v>116</v>
      </c>
      <c r="G32" s="4" t="s">
        <v>115</v>
      </c>
      <c r="H32" s="4" t="s">
        <v>189</v>
      </c>
      <c r="I32" s="4" t="s">
        <v>125</v>
      </c>
      <c r="J32" s="4" t="s">
        <v>135</v>
      </c>
      <c r="K32" s="4" t="s">
        <v>119</v>
      </c>
      <c r="L32" s="4">
        <v>3</v>
      </c>
      <c r="M32" s="13">
        <v>4.445601851851852E-2</v>
      </c>
    </row>
    <row r="33" spans="1:13">
      <c r="A33" s="11">
        <v>44684</v>
      </c>
      <c r="B33" s="4">
        <v>226112</v>
      </c>
      <c r="C33" s="4" t="s">
        <v>106</v>
      </c>
      <c r="D33" s="4" t="s">
        <v>77</v>
      </c>
      <c r="E33" s="4" t="s">
        <v>110</v>
      </c>
      <c r="F33" s="4" t="s">
        <v>109</v>
      </c>
      <c r="G33" s="4" t="s">
        <v>115</v>
      </c>
      <c r="H33" s="4" t="s">
        <v>136</v>
      </c>
      <c r="I33" s="4" t="s">
        <v>121</v>
      </c>
      <c r="J33" s="4" t="s">
        <v>142</v>
      </c>
      <c r="K33" s="4" t="s">
        <v>124</v>
      </c>
      <c r="L33" s="4">
        <v>7</v>
      </c>
      <c r="M33" s="13">
        <v>0.10513888888888889</v>
      </c>
    </row>
    <row r="34" spans="1:13">
      <c r="A34" s="11">
        <v>44684</v>
      </c>
      <c r="B34" s="4">
        <v>273659</v>
      </c>
      <c r="C34" s="4" t="s">
        <v>106</v>
      </c>
      <c r="D34" s="4" t="s">
        <v>78</v>
      </c>
      <c r="E34" s="4" t="s">
        <v>110</v>
      </c>
      <c r="F34" s="4" t="s">
        <v>109</v>
      </c>
      <c r="G34" s="4" t="s">
        <v>115</v>
      </c>
      <c r="H34" s="4" t="s">
        <v>190</v>
      </c>
      <c r="I34" s="4" t="s">
        <v>114</v>
      </c>
      <c r="J34" s="4" t="s">
        <v>191</v>
      </c>
      <c r="K34" s="4" t="s">
        <v>138</v>
      </c>
      <c r="L34" s="4">
        <v>5</v>
      </c>
      <c r="M34" s="13">
        <v>0.12703703703703706</v>
      </c>
    </row>
    <row r="35" spans="1:13">
      <c r="A35" s="11">
        <v>44684</v>
      </c>
      <c r="B35" s="4">
        <v>233169</v>
      </c>
      <c r="C35" s="4" t="s">
        <v>172</v>
      </c>
      <c r="D35" s="4" t="s">
        <v>192</v>
      </c>
      <c r="E35" s="4" t="s">
        <v>110</v>
      </c>
      <c r="F35" s="4" t="s">
        <v>109</v>
      </c>
      <c r="G35" s="4" t="s">
        <v>115</v>
      </c>
      <c r="H35" s="4" t="s">
        <v>159</v>
      </c>
      <c r="I35" s="4" t="s">
        <v>114</v>
      </c>
      <c r="J35" s="4" t="s">
        <v>175</v>
      </c>
      <c r="K35" s="4" t="s">
        <v>171</v>
      </c>
      <c r="L35" s="4">
        <v>4</v>
      </c>
      <c r="M35" s="13">
        <v>3.7766203703703705E-2</v>
      </c>
    </row>
    <row r="36" spans="1:13">
      <c r="A36" s="11">
        <v>44684</v>
      </c>
      <c r="B36" s="4">
        <v>266877</v>
      </c>
      <c r="C36" s="4" t="s">
        <v>158</v>
      </c>
      <c r="D36" s="4" t="s">
        <v>193</v>
      </c>
      <c r="E36" s="4" t="s">
        <v>132</v>
      </c>
      <c r="F36" s="4" t="s">
        <v>109</v>
      </c>
      <c r="G36" s="4" t="s">
        <v>115</v>
      </c>
      <c r="H36" s="4" t="s">
        <v>159</v>
      </c>
      <c r="I36" s="4" t="s">
        <v>125</v>
      </c>
      <c r="J36" s="4" t="s">
        <v>194</v>
      </c>
      <c r="K36" s="4" t="s">
        <v>161</v>
      </c>
      <c r="L36" s="4">
        <v>11</v>
      </c>
      <c r="M36" s="13">
        <v>0.11295138888888887</v>
      </c>
    </row>
    <row r="37" spans="1:13">
      <c r="A37" s="11">
        <v>44684</v>
      </c>
      <c r="B37" s="4">
        <v>200018</v>
      </c>
      <c r="C37" s="4" t="s">
        <v>158</v>
      </c>
      <c r="D37" s="4" t="s">
        <v>195</v>
      </c>
      <c r="E37" s="4" t="s">
        <v>110</v>
      </c>
      <c r="F37" s="4" t="s">
        <v>109</v>
      </c>
      <c r="G37" s="4" t="s">
        <v>115</v>
      </c>
      <c r="H37" s="4" t="s">
        <v>111</v>
      </c>
      <c r="I37" s="4" t="s">
        <v>125</v>
      </c>
      <c r="J37" s="4" t="s">
        <v>196</v>
      </c>
      <c r="K37" s="4" t="s">
        <v>161</v>
      </c>
      <c r="L37" s="4">
        <v>27</v>
      </c>
      <c r="M37" s="13">
        <v>0.15288194444444447</v>
      </c>
    </row>
    <row r="38" spans="1:13">
      <c r="A38" s="11">
        <v>44685</v>
      </c>
      <c r="B38" s="4">
        <v>217042</v>
      </c>
      <c r="C38" s="4" t="s">
        <v>106</v>
      </c>
      <c r="D38" s="4" t="s">
        <v>178</v>
      </c>
      <c r="E38" s="4" t="s">
        <v>132</v>
      </c>
      <c r="F38" s="4" t="s">
        <v>109</v>
      </c>
      <c r="G38" s="4" t="s">
        <v>115</v>
      </c>
      <c r="H38" s="4" t="s">
        <v>179</v>
      </c>
      <c r="I38" s="4" t="s">
        <v>114</v>
      </c>
      <c r="J38" s="4" t="s">
        <v>180</v>
      </c>
      <c r="K38" s="4" t="s">
        <v>119</v>
      </c>
      <c r="L38" s="4">
        <v>4</v>
      </c>
      <c r="M38" s="13">
        <v>7.1423611111111118E-2</v>
      </c>
    </row>
    <row r="39" spans="1:13">
      <c r="A39" s="11">
        <v>44685</v>
      </c>
      <c r="B39" s="4">
        <v>234908</v>
      </c>
      <c r="C39" s="4" t="s">
        <v>106</v>
      </c>
      <c r="D39" s="4" t="s">
        <v>79</v>
      </c>
      <c r="E39" s="4" t="s">
        <v>110</v>
      </c>
      <c r="F39" s="4" t="s">
        <v>116</v>
      </c>
      <c r="G39" s="4" t="s">
        <v>126</v>
      </c>
      <c r="H39" s="4" t="s">
        <v>181</v>
      </c>
      <c r="I39" s="4" t="s">
        <v>121</v>
      </c>
      <c r="J39" s="4" t="s">
        <v>134</v>
      </c>
      <c r="K39" s="4" t="s">
        <v>119</v>
      </c>
      <c r="L39" s="4">
        <v>2</v>
      </c>
      <c r="M39" s="13">
        <v>3.7592592592592587E-2</v>
      </c>
    </row>
    <row r="40" spans="1:13">
      <c r="A40" s="11">
        <v>44685</v>
      </c>
      <c r="B40" s="4">
        <v>240822</v>
      </c>
      <c r="C40" s="4" t="s">
        <v>106</v>
      </c>
      <c r="D40" s="4" t="s">
        <v>182</v>
      </c>
      <c r="E40" s="4" t="s">
        <v>132</v>
      </c>
      <c r="F40" s="4" t="s">
        <v>109</v>
      </c>
      <c r="G40" s="4" t="s">
        <v>115</v>
      </c>
      <c r="H40" s="4" t="s">
        <v>183</v>
      </c>
      <c r="I40" s="4" t="s">
        <v>121</v>
      </c>
      <c r="J40" s="4" t="s">
        <v>134</v>
      </c>
      <c r="K40" s="4" t="s">
        <v>119</v>
      </c>
      <c r="L40" s="4">
        <v>1</v>
      </c>
      <c r="M40" s="13">
        <v>1.8576388888888892E-2</v>
      </c>
    </row>
    <row r="41" spans="1:13">
      <c r="A41" s="11">
        <v>44685</v>
      </c>
      <c r="B41" s="4">
        <v>138885</v>
      </c>
      <c r="C41" s="4" t="s">
        <v>106</v>
      </c>
      <c r="D41" s="4" t="s">
        <v>184</v>
      </c>
      <c r="E41" s="4" t="s">
        <v>110</v>
      </c>
      <c r="F41" s="4" t="s">
        <v>116</v>
      </c>
      <c r="G41" s="4" t="s">
        <v>115</v>
      </c>
      <c r="H41" s="4" t="s">
        <v>130</v>
      </c>
      <c r="I41" s="4" t="s">
        <v>114</v>
      </c>
      <c r="J41" s="4" t="s">
        <v>134</v>
      </c>
      <c r="K41" s="4" t="s">
        <v>119</v>
      </c>
      <c r="L41" s="4">
        <v>1</v>
      </c>
      <c r="M41" s="13">
        <v>9.8148148148148144E-3</v>
      </c>
    </row>
    <row r="42" spans="1:13">
      <c r="A42" s="11">
        <v>44685</v>
      </c>
      <c r="B42" s="4">
        <v>225722</v>
      </c>
      <c r="C42" s="4" t="s">
        <v>106</v>
      </c>
      <c r="D42" s="4" t="s">
        <v>185</v>
      </c>
      <c r="E42" s="4" t="s">
        <v>110</v>
      </c>
      <c r="F42" s="4" t="s">
        <v>109</v>
      </c>
      <c r="G42" s="4" t="s">
        <v>115</v>
      </c>
      <c r="H42" s="4" t="s">
        <v>186</v>
      </c>
      <c r="I42" s="4" t="s">
        <v>114</v>
      </c>
      <c r="J42" s="4" t="s">
        <v>187</v>
      </c>
      <c r="K42" s="4" t="s">
        <v>138</v>
      </c>
      <c r="L42" s="4">
        <v>17</v>
      </c>
      <c r="M42" s="13">
        <v>0.22466435185185185</v>
      </c>
    </row>
    <row r="43" spans="1:13">
      <c r="A43" s="11">
        <v>44685</v>
      </c>
      <c r="B43" s="4">
        <v>235194</v>
      </c>
      <c r="C43" s="4" t="s">
        <v>106</v>
      </c>
      <c r="D43" s="4" t="s">
        <v>188</v>
      </c>
      <c r="E43" s="4" t="s">
        <v>110</v>
      </c>
      <c r="F43" s="4" t="s">
        <v>116</v>
      </c>
      <c r="G43" s="4" t="s">
        <v>115</v>
      </c>
      <c r="H43" s="4" t="s">
        <v>133</v>
      </c>
      <c r="I43" s="4" t="s">
        <v>125</v>
      </c>
      <c r="J43" s="4" t="s">
        <v>118</v>
      </c>
      <c r="K43" s="4" t="s">
        <v>119</v>
      </c>
      <c r="L43" s="4">
        <v>0</v>
      </c>
      <c r="M43" s="13">
        <v>0</v>
      </c>
    </row>
    <row r="44" spans="1:13">
      <c r="A44" s="11">
        <v>44685</v>
      </c>
      <c r="B44" s="4">
        <v>254125</v>
      </c>
      <c r="C44" s="4" t="s">
        <v>106</v>
      </c>
      <c r="D44" s="4" t="s">
        <v>80</v>
      </c>
      <c r="E44" s="4" t="s">
        <v>110</v>
      </c>
      <c r="F44" s="4" t="s">
        <v>116</v>
      </c>
      <c r="G44" s="4" t="s">
        <v>115</v>
      </c>
      <c r="H44" s="4" t="s">
        <v>189</v>
      </c>
      <c r="I44" s="4" t="s">
        <v>125</v>
      </c>
      <c r="J44" s="4" t="s">
        <v>135</v>
      </c>
      <c r="K44" s="4" t="s">
        <v>119</v>
      </c>
      <c r="L44" s="4">
        <v>9</v>
      </c>
      <c r="M44" s="13">
        <v>0.21870370370370368</v>
      </c>
    </row>
    <row r="45" spans="1:13">
      <c r="A45" s="11">
        <v>44685</v>
      </c>
      <c r="B45" s="4">
        <v>226112</v>
      </c>
      <c r="C45" s="4" t="s">
        <v>106</v>
      </c>
      <c r="D45" s="4" t="s">
        <v>77</v>
      </c>
      <c r="E45" s="4" t="s">
        <v>110</v>
      </c>
      <c r="F45" s="4" t="s">
        <v>109</v>
      </c>
      <c r="G45" s="4" t="s">
        <v>115</v>
      </c>
      <c r="H45" s="4" t="s">
        <v>136</v>
      </c>
      <c r="I45" s="4" t="s">
        <v>121</v>
      </c>
      <c r="J45" s="4" t="s">
        <v>142</v>
      </c>
      <c r="K45" s="4" t="s">
        <v>124</v>
      </c>
      <c r="L45" s="4">
        <v>8</v>
      </c>
      <c r="M45" s="13">
        <v>8.0011574074074082E-2</v>
      </c>
    </row>
    <row r="46" spans="1:13">
      <c r="A46" s="11">
        <v>44685</v>
      </c>
      <c r="B46" s="4">
        <v>273659</v>
      </c>
      <c r="C46" s="4" t="s">
        <v>106</v>
      </c>
      <c r="D46" s="4" t="s">
        <v>78</v>
      </c>
      <c r="E46" s="4" t="s">
        <v>110</v>
      </c>
      <c r="F46" s="4" t="s">
        <v>109</v>
      </c>
      <c r="G46" s="4" t="s">
        <v>115</v>
      </c>
      <c r="H46" s="4" t="s">
        <v>190</v>
      </c>
      <c r="I46" s="4" t="s">
        <v>114</v>
      </c>
      <c r="J46" s="4" t="s">
        <v>191</v>
      </c>
      <c r="K46" s="4" t="s">
        <v>138</v>
      </c>
      <c r="L46" s="4">
        <v>7</v>
      </c>
      <c r="M46" s="13">
        <v>0.10263888888888889</v>
      </c>
    </row>
    <row r="47" spans="1:13">
      <c r="A47" s="11">
        <v>44685</v>
      </c>
      <c r="B47" s="4">
        <v>233169</v>
      </c>
      <c r="C47" s="4" t="s">
        <v>172</v>
      </c>
      <c r="D47" s="4" t="s">
        <v>192</v>
      </c>
      <c r="E47" s="4" t="s">
        <v>110</v>
      </c>
      <c r="F47" s="4" t="s">
        <v>109</v>
      </c>
      <c r="G47" s="4" t="s">
        <v>115</v>
      </c>
      <c r="H47" s="4" t="s">
        <v>159</v>
      </c>
      <c r="I47" s="4" t="s">
        <v>114</v>
      </c>
      <c r="J47" s="4" t="s">
        <v>175</v>
      </c>
      <c r="K47" s="4" t="s">
        <v>171</v>
      </c>
      <c r="L47" s="4">
        <v>0</v>
      </c>
      <c r="M47" s="13">
        <v>0</v>
      </c>
    </row>
    <row r="48" spans="1:13">
      <c r="A48" s="11">
        <v>44685</v>
      </c>
      <c r="B48" s="4">
        <v>266877</v>
      </c>
      <c r="C48" s="4" t="s">
        <v>158</v>
      </c>
      <c r="D48" s="4" t="s">
        <v>193</v>
      </c>
      <c r="E48" s="4" t="s">
        <v>132</v>
      </c>
      <c r="F48" s="4" t="s">
        <v>109</v>
      </c>
      <c r="G48" s="4" t="s">
        <v>115</v>
      </c>
      <c r="H48" s="4" t="s">
        <v>159</v>
      </c>
      <c r="I48" s="4" t="s">
        <v>125</v>
      </c>
      <c r="J48" s="4" t="s">
        <v>194</v>
      </c>
      <c r="K48" s="4" t="s">
        <v>161</v>
      </c>
      <c r="L48" s="4">
        <v>11</v>
      </c>
      <c r="M48" s="13">
        <v>8.5902777777777786E-2</v>
      </c>
    </row>
    <row r="49" spans="1:13">
      <c r="A49" s="11">
        <v>44685</v>
      </c>
      <c r="B49" s="4">
        <v>200018</v>
      </c>
      <c r="C49" s="4" t="s">
        <v>158</v>
      </c>
      <c r="D49" s="4" t="s">
        <v>195</v>
      </c>
      <c r="E49" s="4" t="s">
        <v>110</v>
      </c>
      <c r="F49" s="4" t="s">
        <v>109</v>
      </c>
      <c r="G49" s="4" t="s">
        <v>115</v>
      </c>
      <c r="H49" s="4" t="s">
        <v>111</v>
      </c>
      <c r="I49" s="4" t="s">
        <v>125</v>
      </c>
      <c r="J49" s="4" t="s">
        <v>196</v>
      </c>
      <c r="K49" s="4" t="s">
        <v>161</v>
      </c>
      <c r="L49" s="4">
        <v>27</v>
      </c>
      <c r="M49" s="13">
        <v>0.17532407407407408</v>
      </c>
    </row>
    <row r="50" spans="1:13">
      <c r="A50" s="11">
        <v>44686</v>
      </c>
      <c r="B50" s="4">
        <v>217042</v>
      </c>
      <c r="C50" s="4" t="s">
        <v>106</v>
      </c>
      <c r="D50" s="4" t="s">
        <v>178</v>
      </c>
      <c r="E50" s="4" t="s">
        <v>132</v>
      </c>
      <c r="F50" s="4" t="s">
        <v>109</v>
      </c>
      <c r="G50" s="4" t="s">
        <v>115</v>
      </c>
      <c r="H50" s="4" t="s">
        <v>179</v>
      </c>
      <c r="I50" s="4" t="s">
        <v>114</v>
      </c>
      <c r="J50" s="4" t="s">
        <v>180</v>
      </c>
      <c r="K50" s="4" t="s">
        <v>119</v>
      </c>
      <c r="L50" s="4">
        <v>4</v>
      </c>
      <c r="M50" s="13">
        <v>5.2060185185185182E-2</v>
      </c>
    </row>
    <row r="51" spans="1:13">
      <c r="A51" s="11">
        <v>44686</v>
      </c>
      <c r="B51" s="4">
        <v>234908</v>
      </c>
      <c r="C51" s="4" t="s">
        <v>106</v>
      </c>
      <c r="D51" s="4" t="s">
        <v>79</v>
      </c>
      <c r="E51" s="4" t="s">
        <v>110</v>
      </c>
      <c r="F51" s="4" t="s">
        <v>116</v>
      </c>
      <c r="G51" s="4" t="s">
        <v>126</v>
      </c>
      <c r="H51" s="4" t="s">
        <v>181</v>
      </c>
      <c r="I51" s="4" t="s">
        <v>121</v>
      </c>
      <c r="J51" s="4" t="s">
        <v>134</v>
      </c>
      <c r="K51" s="4" t="s">
        <v>119</v>
      </c>
      <c r="L51" s="4">
        <v>0</v>
      </c>
      <c r="M51" s="13">
        <v>0</v>
      </c>
    </row>
    <row r="52" spans="1:13">
      <c r="A52" s="11">
        <v>44686</v>
      </c>
      <c r="B52" s="4">
        <v>240822</v>
      </c>
      <c r="C52" s="4" t="s">
        <v>106</v>
      </c>
      <c r="D52" s="4" t="s">
        <v>182</v>
      </c>
      <c r="E52" s="4" t="s">
        <v>132</v>
      </c>
      <c r="F52" s="4" t="s">
        <v>109</v>
      </c>
      <c r="G52" s="4" t="s">
        <v>115</v>
      </c>
      <c r="H52" s="4" t="s">
        <v>183</v>
      </c>
      <c r="I52" s="4" t="s">
        <v>121</v>
      </c>
      <c r="J52" s="4" t="s">
        <v>134</v>
      </c>
      <c r="K52" s="4" t="s">
        <v>119</v>
      </c>
      <c r="L52" s="4">
        <v>0</v>
      </c>
      <c r="M52" s="13">
        <v>0</v>
      </c>
    </row>
    <row r="53" spans="1:13">
      <c r="A53" s="11">
        <v>44686</v>
      </c>
      <c r="B53" s="4">
        <v>138885</v>
      </c>
      <c r="C53" s="4" t="s">
        <v>106</v>
      </c>
      <c r="D53" s="4" t="s">
        <v>184</v>
      </c>
      <c r="E53" s="4" t="s">
        <v>110</v>
      </c>
      <c r="F53" s="4" t="s">
        <v>116</v>
      </c>
      <c r="G53" s="4" t="s">
        <v>115</v>
      </c>
      <c r="H53" s="4" t="s">
        <v>130</v>
      </c>
      <c r="I53" s="4" t="s">
        <v>114</v>
      </c>
      <c r="J53" s="4" t="s">
        <v>134</v>
      </c>
      <c r="K53" s="4" t="s">
        <v>119</v>
      </c>
      <c r="L53" s="4">
        <v>9</v>
      </c>
      <c r="M53" s="13">
        <v>0.15490740740740738</v>
      </c>
    </row>
    <row r="54" spans="1:13">
      <c r="A54" s="11">
        <v>44686</v>
      </c>
      <c r="B54" s="4">
        <v>225722</v>
      </c>
      <c r="C54" s="4" t="s">
        <v>106</v>
      </c>
      <c r="D54" s="4" t="s">
        <v>185</v>
      </c>
      <c r="E54" s="4" t="s">
        <v>110</v>
      </c>
      <c r="F54" s="4" t="s">
        <v>109</v>
      </c>
      <c r="G54" s="4" t="s">
        <v>115</v>
      </c>
      <c r="H54" s="4" t="s">
        <v>186</v>
      </c>
      <c r="I54" s="4" t="s">
        <v>114</v>
      </c>
      <c r="J54" s="4" t="s">
        <v>187</v>
      </c>
      <c r="K54" s="4" t="s">
        <v>138</v>
      </c>
      <c r="L54" s="4">
        <v>6</v>
      </c>
      <c r="M54" s="13">
        <v>8.9166666666666672E-2</v>
      </c>
    </row>
    <row r="55" spans="1:13">
      <c r="A55" s="11">
        <v>44686</v>
      </c>
      <c r="B55" s="4">
        <v>235194</v>
      </c>
      <c r="C55" s="4" t="s">
        <v>106</v>
      </c>
      <c r="D55" s="4" t="s">
        <v>188</v>
      </c>
      <c r="E55" s="4" t="s">
        <v>110</v>
      </c>
      <c r="F55" s="4" t="s">
        <v>116</v>
      </c>
      <c r="G55" s="4" t="s">
        <v>115</v>
      </c>
      <c r="H55" s="4" t="s">
        <v>133</v>
      </c>
      <c r="I55" s="4" t="s">
        <v>125</v>
      </c>
      <c r="J55" s="4" t="s">
        <v>118</v>
      </c>
      <c r="K55" s="4" t="s">
        <v>119</v>
      </c>
      <c r="L55" s="4">
        <v>2</v>
      </c>
      <c r="M55" s="13">
        <v>8.2962962962962961E-2</v>
      </c>
    </row>
    <row r="56" spans="1:13">
      <c r="A56" s="11">
        <v>44686</v>
      </c>
      <c r="B56" s="4">
        <v>254125</v>
      </c>
      <c r="C56" s="4" t="s">
        <v>106</v>
      </c>
      <c r="D56" s="4" t="s">
        <v>80</v>
      </c>
      <c r="E56" s="4" t="s">
        <v>110</v>
      </c>
      <c r="F56" s="4" t="s">
        <v>116</v>
      </c>
      <c r="G56" s="4" t="s">
        <v>115</v>
      </c>
      <c r="H56" s="4" t="s">
        <v>189</v>
      </c>
      <c r="I56" s="4" t="s">
        <v>125</v>
      </c>
      <c r="J56" s="4" t="s">
        <v>135</v>
      </c>
      <c r="K56" s="4" t="s">
        <v>119</v>
      </c>
      <c r="L56" s="4">
        <v>12</v>
      </c>
      <c r="M56" s="13">
        <v>0.21915509259259258</v>
      </c>
    </row>
    <row r="57" spans="1:13">
      <c r="A57" s="11">
        <v>44686</v>
      </c>
      <c r="B57" s="4">
        <v>226112</v>
      </c>
      <c r="C57" s="4" t="s">
        <v>106</v>
      </c>
      <c r="D57" s="4" t="s">
        <v>77</v>
      </c>
      <c r="E57" s="4" t="s">
        <v>110</v>
      </c>
      <c r="F57" s="4" t="s">
        <v>109</v>
      </c>
      <c r="G57" s="4" t="s">
        <v>115</v>
      </c>
      <c r="H57" s="4" t="s">
        <v>136</v>
      </c>
      <c r="I57" s="4" t="s">
        <v>121</v>
      </c>
      <c r="J57" s="4" t="s">
        <v>142</v>
      </c>
      <c r="K57" s="4" t="s">
        <v>124</v>
      </c>
      <c r="L57" s="4">
        <v>1</v>
      </c>
      <c r="M57" s="13">
        <v>2.1562499999999998E-2</v>
      </c>
    </row>
    <row r="58" spans="1:13">
      <c r="A58" s="11">
        <v>44686</v>
      </c>
      <c r="B58" s="4">
        <v>273659</v>
      </c>
      <c r="C58" s="4" t="s">
        <v>106</v>
      </c>
      <c r="D58" s="4" t="s">
        <v>78</v>
      </c>
      <c r="E58" s="4" t="s">
        <v>110</v>
      </c>
      <c r="F58" s="4" t="s">
        <v>109</v>
      </c>
      <c r="G58" s="4" t="s">
        <v>115</v>
      </c>
      <c r="H58" s="4" t="s">
        <v>190</v>
      </c>
      <c r="I58" s="4" t="s">
        <v>114</v>
      </c>
      <c r="J58" s="4" t="s">
        <v>191</v>
      </c>
      <c r="K58" s="4" t="s">
        <v>138</v>
      </c>
      <c r="L58" s="4">
        <v>2</v>
      </c>
      <c r="M58" s="13">
        <v>3.2453703703703707E-2</v>
      </c>
    </row>
    <row r="59" spans="1:13">
      <c r="A59" s="11">
        <v>44686</v>
      </c>
      <c r="B59" s="4">
        <v>233169</v>
      </c>
      <c r="C59" s="4" t="s">
        <v>172</v>
      </c>
      <c r="D59" s="4" t="s">
        <v>192</v>
      </c>
      <c r="E59" s="4" t="s">
        <v>110</v>
      </c>
      <c r="F59" s="4" t="s">
        <v>109</v>
      </c>
      <c r="G59" s="4" t="s">
        <v>115</v>
      </c>
      <c r="H59" s="4" t="s">
        <v>159</v>
      </c>
      <c r="I59" s="4" t="s">
        <v>114</v>
      </c>
      <c r="J59" s="4" t="s">
        <v>175</v>
      </c>
      <c r="K59" s="4" t="s">
        <v>171</v>
      </c>
      <c r="L59" s="4">
        <v>6</v>
      </c>
      <c r="M59" s="13">
        <v>9.3032407407407425E-2</v>
      </c>
    </row>
    <row r="60" spans="1:13">
      <c r="A60" s="11">
        <v>44686</v>
      </c>
      <c r="B60" s="4">
        <v>266877</v>
      </c>
      <c r="C60" s="4" t="s">
        <v>158</v>
      </c>
      <c r="D60" s="4" t="s">
        <v>193</v>
      </c>
      <c r="E60" s="4" t="s">
        <v>132</v>
      </c>
      <c r="F60" s="4" t="s">
        <v>109</v>
      </c>
      <c r="G60" s="4" t="s">
        <v>115</v>
      </c>
      <c r="H60" s="4" t="s">
        <v>159</v>
      </c>
      <c r="I60" s="4" t="s">
        <v>125</v>
      </c>
      <c r="J60" s="4" t="s">
        <v>194</v>
      </c>
      <c r="K60" s="4" t="s">
        <v>161</v>
      </c>
      <c r="L60" s="4">
        <v>18</v>
      </c>
      <c r="M60" s="13">
        <v>0.12344907407407407</v>
      </c>
    </row>
    <row r="61" spans="1:13">
      <c r="A61" s="11">
        <v>44686</v>
      </c>
      <c r="B61" s="4">
        <v>200018</v>
      </c>
      <c r="C61" s="4" t="s">
        <v>158</v>
      </c>
      <c r="D61" s="4" t="s">
        <v>195</v>
      </c>
      <c r="E61" s="4" t="s">
        <v>110</v>
      </c>
      <c r="F61" s="4" t="s">
        <v>109</v>
      </c>
      <c r="G61" s="4" t="s">
        <v>115</v>
      </c>
      <c r="H61" s="4" t="s">
        <v>111</v>
      </c>
      <c r="I61" s="4" t="s">
        <v>125</v>
      </c>
      <c r="J61" s="4" t="s">
        <v>196</v>
      </c>
      <c r="K61" s="4" t="s">
        <v>161</v>
      </c>
      <c r="L61" s="4">
        <v>36</v>
      </c>
      <c r="M61" s="13">
        <v>0.15921296296296297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H46"/>
  <sheetViews>
    <sheetView zoomScale="85" zoomScaleNormal="85" workbookViewId="0">
      <selection activeCell="E17" sqref="E17"/>
    </sheetView>
  </sheetViews>
  <sheetFormatPr defaultColWidth="17.7109375" defaultRowHeight="14.45"/>
  <cols>
    <col min="1" max="3" width="17.7109375" style="2"/>
    <col min="4" max="5" width="24.28515625" style="2" customWidth="1"/>
    <col min="6" max="6" width="17.7109375" style="2"/>
    <col min="7" max="7" width="44.85546875" style="18" bestFit="1" customWidth="1"/>
    <col min="8" max="8" width="17.5703125" style="2" bestFit="1" customWidth="1"/>
  </cols>
  <sheetData>
    <row r="1" spans="1:8">
      <c r="A1" s="25" t="s">
        <v>2</v>
      </c>
      <c r="B1" s="25" t="s">
        <v>3</v>
      </c>
      <c r="C1" s="25" t="s">
        <v>197</v>
      </c>
      <c r="D1" s="25" t="s">
        <v>104</v>
      </c>
      <c r="E1" s="25" t="s">
        <v>105</v>
      </c>
      <c r="F1" s="25" t="s">
        <v>198</v>
      </c>
      <c r="G1" s="26" t="s">
        <v>199</v>
      </c>
      <c r="H1" s="25" t="s">
        <v>7</v>
      </c>
    </row>
    <row r="2" spans="1:8">
      <c r="A2" s="4">
        <v>246533</v>
      </c>
      <c r="B2" s="4" t="s">
        <v>200</v>
      </c>
      <c r="C2" s="4" t="s">
        <v>84</v>
      </c>
      <c r="D2" s="4" t="s">
        <v>201</v>
      </c>
      <c r="E2" s="4" t="s">
        <v>202</v>
      </c>
      <c r="F2" s="4" t="s">
        <v>106</v>
      </c>
      <c r="G2" s="10" t="s">
        <v>8</v>
      </c>
      <c r="H2" s="4" t="s">
        <v>28</v>
      </c>
    </row>
    <row r="3" spans="1:8">
      <c r="A3" s="4">
        <v>246533</v>
      </c>
      <c r="B3" s="4" t="s">
        <v>200</v>
      </c>
      <c r="C3" s="4" t="s">
        <v>84</v>
      </c>
      <c r="D3" s="4" t="s">
        <v>201</v>
      </c>
      <c r="E3" s="4" t="s">
        <v>202</v>
      </c>
      <c r="F3" s="4" t="s">
        <v>106</v>
      </c>
      <c r="G3" s="10" t="s">
        <v>11</v>
      </c>
      <c r="H3" s="4" t="s">
        <v>203</v>
      </c>
    </row>
    <row r="4" spans="1:8">
      <c r="A4" s="4">
        <v>246533</v>
      </c>
      <c r="B4" s="4" t="s">
        <v>200</v>
      </c>
      <c r="C4" s="4" t="s">
        <v>84</v>
      </c>
      <c r="D4" s="4" t="s">
        <v>201</v>
      </c>
      <c r="E4" s="4" t="s">
        <v>202</v>
      </c>
      <c r="F4" s="4" t="s">
        <v>106</v>
      </c>
      <c r="G4" s="10" t="s">
        <v>10</v>
      </c>
      <c r="H4" s="4" t="s">
        <v>28</v>
      </c>
    </row>
    <row r="5" spans="1:8">
      <c r="A5" s="4">
        <v>274448</v>
      </c>
      <c r="B5" s="4" t="s">
        <v>204</v>
      </c>
      <c r="C5" s="4" t="s">
        <v>84</v>
      </c>
      <c r="D5" s="4" t="s">
        <v>201</v>
      </c>
      <c r="E5" s="4" t="s">
        <v>202</v>
      </c>
      <c r="F5" s="4" t="s">
        <v>106</v>
      </c>
      <c r="G5" s="10" t="s">
        <v>205</v>
      </c>
      <c r="H5" s="4" t="s">
        <v>203</v>
      </c>
    </row>
    <row r="6" spans="1:8">
      <c r="A6" s="4">
        <v>274448</v>
      </c>
      <c r="B6" s="4" t="s">
        <v>204</v>
      </c>
      <c r="C6" s="4" t="s">
        <v>84</v>
      </c>
      <c r="D6" s="4" t="s">
        <v>201</v>
      </c>
      <c r="E6" s="4" t="s">
        <v>202</v>
      </c>
      <c r="F6" s="4" t="s">
        <v>106</v>
      </c>
      <c r="G6" s="10" t="s">
        <v>8</v>
      </c>
      <c r="H6" s="4" t="s">
        <v>203</v>
      </c>
    </row>
    <row r="7" spans="1:8">
      <c r="A7" s="4">
        <v>274448</v>
      </c>
      <c r="B7" s="4" t="s">
        <v>204</v>
      </c>
      <c r="C7" s="4" t="s">
        <v>84</v>
      </c>
      <c r="D7" s="4" t="s">
        <v>201</v>
      </c>
      <c r="E7" s="4" t="s">
        <v>202</v>
      </c>
      <c r="F7" s="4" t="s">
        <v>106</v>
      </c>
      <c r="G7" s="10" t="s">
        <v>11</v>
      </c>
      <c r="H7" s="4" t="s">
        <v>203</v>
      </c>
    </row>
    <row r="8" spans="1:8">
      <c r="A8" s="4">
        <v>274448</v>
      </c>
      <c r="B8" s="4" t="s">
        <v>204</v>
      </c>
      <c r="C8" s="4" t="s">
        <v>84</v>
      </c>
      <c r="D8" s="4" t="s">
        <v>201</v>
      </c>
      <c r="E8" s="4" t="s">
        <v>202</v>
      </c>
      <c r="F8" s="4" t="s">
        <v>106</v>
      </c>
      <c r="G8" s="10" t="s">
        <v>206</v>
      </c>
      <c r="H8" s="4" t="s">
        <v>203</v>
      </c>
    </row>
    <row r="9" spans="1:8">
      <c r="A9" s="4">
        <v>274448</v>
      </c>
      <c r="B9" s="4" t="s">
        <v>204</v>
      </c>
      <c r="C9" s="4" t="s">
        <v>84</v>
      </c>
      <c r="D9" s="4" t="s">
        <v>201</v>
      </c>
      <c r="E9" s="4" t="s">
        <v>202</v>
      </c>
      <c r="F9" s="4" t="s">
        <v>106</v>
      </c>
      <c r="G9" s="10" t="s">
        <v>207</v>
      </c>
      <c r="H9" s="4" t="s">
        <v>203</v>
      </c>
    </row>
    <row r="10" spans="1:8">
      <c r="A10" s="4">
        <v>274448</v>
      </c>
      <c r="B10" s="4" t="s">
        <v>204</v>
      </c>
      <c r="C10" s="4" t="s">
        <v>84</v>
      </c>
      <c r="D10" s="4" t="s">
        <v>201</v>
      </c>
      <c r="E10" s="4" t="s">
        <v>202</v>
      </c>
      <c r="F10" s="4" t="s">
        <v>106</v>
      </c>
      <c r="G10" s="10" t="s">
        <v>208</v>
      </c>
      <c r="H10" s="4" t="s">
        <v>28</v>
      </c>
    </row>
    <row r="11" spans="1:8">
      <c r="A11" s="4">
        <v>274448</v>
      </c>
      <c r="B11" s="4" t="s">
        <v>204</v>
      </c>
      <c r="C11" s="4" t="s">
        <v>84</v>
      </c>
      <c r="D11" s="4" t="s">
        <v>201</v>
      </c>
      <c r="E11" s="4" t="s">
        <v>202</v>
      </c>
      <c r="F11" s="4" t="s">
        <v>106</v>
      </c>
      <c r="G11" s="10" t="s">
        <v>9</v>
      </c>
      <c r="H11" s="4" t="s">
        <v>203</v>
      </c>
    </row>
    <row r="12" spans="1:8">
      <c r="A12" s="4">
        <v>274448</v>
      </c>
      <c r="B12" s="4" t="s">
        <v>204</v>
      </c>
      <c r="C12" s="4" t="s">
        <v>84</v>
      </c>
      <c r="D12" s="4" t="s">
        <v>201</v>
      </c>
      <c r="E12" s="4" t="s">
        <v>202</v>
      </c>
      <c r="F12" s="4" t="s">
        <v>106</v>
      </c>
      <c r="G12" s="10" t="s">
        <v>209</v>
      </c>
      <c r="H12" s="4" t="s">
        <v>203</v>
      </c>
    </row>
    <row r="13" spans="1:8">
      <c r="A13" s="4">
        <v>274448</v>
      </c>
      <c r="B13" s="4" t="s">
        <v>204</v>
      </c>
      <c r="C13" s="4" t="s">
        <v>84</v>
      </c>
      <c r="D13" s="4" t="s">
        <v>201</v>
      </c>
      <c r="E13" s="4" t="s">
        <v>202</v>
      </c>
      <c r="F13" s="4" t="s">
        <v>106</v>
      </c>
      <c r="G13" s="10" t="s">
        <v>210</v>
      </c>
      <c r="H13" s="4" t="s">
        <v>203</v>
      </c>
    </row>
    <row r="14" spans="1:8">
      <c r="A14" s="4">
        <v>274448</v>
      </c>
      <c r="B14" s="4" t="s">
        <v>204</v>
      </c>
      <c r="C14" s="4" t="s">
        <v>84</v>
      </c>
      <c r="D14" s="4" t="s">
        <v>201</v>
      </c>
      <c r="E14" s="4" t="s">
        <v>202</v>
      </c>
      <c r="F14" s="4" t="s">
        <v>106</v>
      </c>
      <c r="G14" s="10" t="s">
        <v>211</v>
      </c>
      <c r="H14" s="4" t="s">
        <v>28</v>
      </c>
    </row>
    <row r="15" spans="1:8">
      <c r="A15" s="4">
        <v>274448</v>
      </c>
      <c r="B15" s="4" t="s">
        <v>204</v>
      </c>
      <c r="C15" s="4" t="s">
        <v>84</v>
      </c>
      <c r="D15" s="4" t="s">
        <v>201</v>
      </c>
      <c r="E15" s="4" t="s">
        <v>202</v>
      </c>
      <c r="F15" s="4" t="s">
        <v>106</v>
      </c>
      <c r="G15" s="10" t="s">
        <v>10</v>
      </c>
      <c r="H15" s="4" t="s">
        <v>203</v>
      </c>
    </row>
    <row r="16" spans="1:8">
      <c r="A16" s="4">
        <v>275894</v>
      </c>
      <c r="B16" s="4" t="s">
        <v>212</v>
      </c>
      <c r="C16" s="4" t="s">
        <v>84</v>
      </c>
      <c r="D16" s="4" t="s">
        <v>213</v>
      </c>
      <c r="E16" s="4" t="s">
        <v>202</v>
      </c>
      <c r="F16" s="4" t="s">
        <v>106</v>
      </c>
      <c r="G16" s="10" t="s">
        <v>8</v>
      </c>
      <c r="H16" s="4" t="s">
        <v>28</v>
      </c>
    </row>
    <row r="17" spans="1:8">
      <c r="A17" s="4">
        <v>275894</v>
      </c>
      <c r="B17" s="4" t="s">
        <v>212</v>
      </c>
      <c r="C17" s="4" t="s">
        <v>84</v>
      </c>
      <c r="D17" s="4" t="s">
        <v>213</v>
      </c>
      <c r="E17" s="4" t="s">
        <v>202</v>
      </c>
      <c r="F17" s="4" t="s">
        <v>106</v>
      </c>
      <c r="G17" s="10" t="s">
        <v>11</v>
      </c>
      <c r="H17" s="4" t="s">
        <v>203</v>
      </c>
    </row>
    <row r="18" spans="1:8">
      <c r="A18" s="4">
        <v>285904</v>
      </c>
      <c r="B18" s="4" t="s">
        <v>214</v>
      </c>
      <c r="C18" s="4" t="s">
        <v>215</v>
      </c>
      <c r="D18" s="4" t="s">
        <v>216</v>
      </c>
      <c r="E18" s="4" t="s">
        <v>217</v>
      </c>
      <c r="F18" s="4" t="s">
        <v>106</v>
      </c>
      <c r="G18" s="10" t="s">
        <v>8</v>
      </c>
      <c r="H18" s="4" t="s">
        <v>203</v>
      </c>
    </row>
    <row r="19" spans="1:8">
      <c r="A19" s="4">
        <v>203746</v>
      </c>
      <c r="B19" s="4" t="s">
        <v>218</v>
      </c>
      <c r="C19" s="4" t="s">
        <v>86</v>
      </c>
      <c r="D19" s="4" t="s">
        <v>219</v>
      </c>
      <c r="E19" s="4" t="s">
        <v>220</v>
      </c>
      <c r="F19" s="4" t="s">
        <v>221</v>
      </c>
      <c r="G19" s="10" t="s">
        <v>87</v>
      </c>
      <c r="H19" s="4" t="s">
        <v>28</v>
      </c>
    </row>
    <row r="20" spans="1:8">
      <c r="A20" s="4">
        <v>284185</v>
      </c>
      <c r="B20" s="4" t="s">
        <v>222</v>
      </c>
      <c r="C20" s="4" t="s">
        <v>223</v>
      </c>
      <c r="D20" s="4" t="s">
        <v>224</v>
      </c>
      <c r="E20" s="4" t="s">
        <v>225</v>
      </c>
      <c r="F20" s="4" t="s">
        <v>221</v>
      </c>
      <c r="G20" s="10" t="s">
        <v>206</v>
      </c>
      <c r="H20" s="4" t="s">
        <v>28</v>
      </c>
    </row>
    <row r="21" spans="1:8">
      <c r="A21" s="4">
        <v>284185</v>
      </c>
      <c r="B21" s="4" t="s">
        <v>222</v>
      </c>
      <c r="C21" s="4" t="s">
        <v>223</v>
      </c>
      <c r="D21" s="4" t="s">
        <v>224</v>
      </c>
      <c r="E21" s="4" t="s">
        <v>225</v>
      </c>
      <c r="F21" s="4" t="s">
        <v>221</v>
      </c>
      <c r="G21" s="10" t="s">
        <v>207</v>
      </c>
      <c r="H21" s="4" t="s">
        <v>203</v>
      </c>
    </row>
    <row r="22" spans="1:8">
      <c r="A22" s="4">
        <v>284185</v>
      </c>
      <c r="B22" s="4" t="s">
        <v>222</v>
      </c>
      <c r="C22" s="4" t="s">
        <v>223</v>
      </c>
      <c r="D22" s="4" t="s">
        <v>224</v>
      </c>
      <c r="E22" s="4" t="s">
        <v>225</v>
      </c>
      <c r="F22" s="4" t="s">
        <v>221</v>
      </c>
      <c r="G22" s="10" t="s">
        <v>208</v>
      </c>
      <c r="H22" s="4" t="s">
        <v>203</v>
      </c>
    </row>
    <row r="23" spans="1:8">
      <c r="A23" s="4">
        <v>284185</v>
      </c>
      <c r="B23" s="4" t="s">
        <v>222</v>
      </c>
      <c r="C23" s="4" t="s">
        <v>223</v>
      </c>
      <c r="D23" s="4" t="s">
        <v>224</v>
      </c>
      <c r="E23" s="4" t="s">
        <v>225</v>
      </c>
      <c r="F23" s="4" t="s">
        <v>221</v>
      </c>
      <c r="G23" s="10" t="s">
        <v>9</v>
      </c>
      <c r="H23" s="4" t="s">
        <v>203</v>
      </c>
    </row>
    <row r="24" spans="1:8">
      <c r="A24" s="4">
        <v>284185</v>
      </c>
      <c r="B24" s="4" t="s">
        <v>222</v>
      </c>
      <c r="C24" s="4" t="s">
        <v>223</v>
      </c>
      <c r="D24" s="4" t="s">
        <v>224</v>
      </c>
      <c r="E24" s="4" t="s">
        <v>225</v>
      </c>
      <c r="F24" s="4" t="s">
        <v>221</v>
      </c>
      <c r="G24" s="10" t="s">
        <v>209</v>
      </c>
      <c r="H24" s="4" t="s">
        <v>28</v>
      </c>
    </row>
    <row r="25" spans="1:8">
      <c r="A25" s="4">
        <v>284185</v>
      </c>
      <c r="B25" s="4" t="s">
        <v>222</v>
      </c>
      <c r="C25" s="4" t="s">
        <v>223</v>
      </c>
      <c r="D25" s="4" t="s">
        <v>224</v>
      </c>
      <c r="E25" s="4" t="s">
        <v>225</v>
      </c>
      <c r="F25" s="4" t="s">
        <v>221</v>
      </c>
      <c r="G25" s="10" t="s">
        <v>211</v>
      </c>
      <c r="H25" s="4" t="s">
        <v>203</v>
      </c>
    </row>
    <row r="26" spans="1:8">
      <c r="A26" s="4">
        <v>264253</v>
      </c>
      <c r="B26" s="4" t="s">
        <v>226</v>
      </c>
      <c r="C26" s="4" t="s">
        <v>223</v>
      </c>
      <c r="D26" s="4" t="s">
        <v>227</v>
      </c>
      <c r="E26" s="4" t="s">
        <v>228</v>
      </c>
      <c r="F26" s="4" t="s">
        <v>221</v>
      </c>
      <c r="G26" s="10" t="s">
        <v>206</v>
      </c>
      <c r="H26" s="4" t="s">
        <v>28</v>
      </c>
    </row>
    <row r="27" spans="1:8">
      <c r="A27" s="4">
        <v>264253</v>
      </c>
      <c r="B27" s="4" t="s">
        <v>226</v>
      </c>
      <c r="C27" s="4" t="s">
        <v>223</v>
      </c>
      <c r="D27" s="4" t="s">
        <v>227</v>
      </c>
      <c r="E27" s="4" t="s">
        <v>228</v>
      </c>
      <c r="F27" s="4" t="s">
        <v>221</v>
      </c>
      <c r="G27" s="10" t="s">
        <v>207</v>
      </c>
      <c r="H27" s="4" t="s">
        <v>28</v>
      </c>
    </row>
    <row r="28" spans="1:8">
      <c r="A28" s="4">
        <v>264253</v>
      </c>
      <c r="B28" s="4" t="s">
        <v>226</v>
      </c>
      <c r="C28" s="4" t="s">
        <v>223</v>
      </c>
      <c r="D28" s="4" t="s">
        <v>227</v>
      </c>
      <c r="E28" s="4" t="s">
        <v>228</v>
      </c>
      <c r="F28" s="4" t="s">
        <v>221</v>
      </c>
      <c r="G28" s="10" t="s">
        <v>208</v>
      </c>
      <c r="H28" s="4" t="s">
        <v>203</v>
      </c>
    </row>
    <row r="29" spans="1:8">
      <c r="A29" s="4">
        <v>286014</v>
      </c>
      <c r="B29" s="4" t="s">
        <v>229</v>
      </c>
      <c r="C29" s="4" t="s">
        <v>223</v>
      </c>
      <c r="D29" s="4" t="s">
        <v>230</v>
      </c>
      <c r="E29" s="4" t="s">
        <v>225</v>
      </c>
      <c r="F29" s="4" t="s">
        <v>221</v>
      </c>
      <c r="G29" s="10" t="s">
        <v>205</v>
      </c>
      <c r="H29" s="4" t="s">
        <v>203</v>
      </c>
    </row>
    <row r="30" spans="1:8">
      <c r="A30" s="4">
        <v>286014</v>
      </c>
      <c r="B30" s="4" t="s">
        <v>229</v>
      </c>
      <c r="C30" s="4" t="s">
        <v>223</v>
      </c>
      <c r="D30" s="4" t="s">
        <v>230</v>
      </c>
      <c r="E30" s="4" t="s">
        <v>225</v>
      </c>
      <c r="F30" s="4" t="s">
        <v>221</v>
      </c>
      <c r="G30" s="10" t="s">
        <v>8</v>
      </c>
      <c r="H30" s="4" t="s">
        <v>28</v>
      </c>
    </row>
    <row r="31" spans="1:8">
      <c r="A31" s="4">
        <v>286014</v>
      </c>
      <c r="B31" s="4" t="s">
        <v>229</v>
      </c>
      <c r="C31" s="4" t="s">
        <v>223</v>
      </c>
      <c r="D31" s="4" t="s">
        <v>230</v>
      </c>
      <c r="E31" s="4" t="s">
        <v>225</v>
      </c>
      <c r="F31" s="4" t="s">
        <v>221</v>
      </c>
      <c r="G31" s="10" t="s">
        <v>11</v>
      </c>
      <c r="H31" s="4" t="s">
        <v>203</v>
      </c>
    </row>
    <row r="32" spans="1:8">
      <c r="A32" s="4">
        <v>286014</v>
      </c>
      <c r="B32" s="4" t="s">
        <v>229</v>
      </c>
      <c r="C32" s="4" t="s">
        <v>223</v>
      </c>
      <c r="D32" s="4" t="s">
        <v>230</v>
      </c>
      <c r="E32" s="4" t="s">
        <v>225</v>
      </c>
      <c r="F32" s="4" t="s">
        <v>221</v>
      </c>
      <c r="G32" s="10" t="s">
        <v>206</v>
      </c>
      <c r="H32" s="4" t="s">
        <v>203</v>
      </c>
    </row>
    <row r="33" spans="1:8">
      <c r="A33" s="4">
        <v>286014</v>
      </c>
      <c r="B33" s="4" t="s">
        <v>229</v>
      </c>
      <c r="C33" s="4" t="s">
        <v>223</v>
      </c>
      <c r="D33" s="4" t="s">
        <v>230</v>
      </c>
      <c r="E33" s="4" t="s">
        <v>225</v>
      </c>
      <c r="F33" s="4" t="s">
        <v>221</v>
      </c>
      <c r="G33" s="10" t="s">
        <v>207</v>
      </c>
      <c r="H33" s="4" t="s">
        <v>203</v>
      </c>
    </row>
    <row r="34" spans="1:8">
      <c r="A34" s="4">
        <v>286014</v>
      </c>
      <c r="B34" s="4" t="s">
        <v>229</v>
      </c>
      <c r="C34" s="4" t="s">
        <v>223</v>
      </c>
      <c r="D34" s="4" t="s">
        <v>230</v>
      </c>
      <c r="E34" s="4" t="s">
        <v>225</v>
      </c>
      <c r="F34" s="4" t="s">
        <v>221</v>
      </c>
      <c r="G34" s="10" t="s">
        <v>208</v>
      </c>
      <c r="H34" s="4" t="s">
        <v>28</v>
      </c>
    </row>
    <row r="35" spans="1:8">
      <c r="A35" s="4">
        <v>286014</v>
      </c>
      <c r="B35" s="4" t="s">
        <v>229</v>
      </c>
      <c r="C35" s="4" t="s">
        <v>223</v>
      </c>
      <c r="D35" s="4" t="s">
        <v>230</v>
      </c>
      <c r="E35" s="4" t="s">
        <v>225</v>
      </c>
      <c r="F35" s="4" t="s">
        <v>221</v>
      </c>
      <c r="G35" s="10" t="s">
        <v>9</v>
      </c>
      <c r="H35" s="4" t="s">
        <v>203</v>
      </c>
    </row>
    <row r="36" spans="1:8">
      <c r="A36" s="4">
        <v>286014</v>
      </c>
      <c r="B36" s="4" t="s">
        <v>229</v>
      </c>
      <c r="C36" s="4" t="s">
        <v>223</v>
      </c>
      <c r="D36" s="4" t="s">
        <v>230</v>
      </c>
      <c r="E36" s="4" t="s">
        <v>225</v>
      </c>
      <c r="F36" s="4" t="s">
        <v>221</v>
      </c>
      <c r="G36" s="10" t="s">
        <v>209</v>
      </c>
      <c r="H36" s="4" t="s">
        <v>203</v>
      </c>
    </row>
    <row r="37" spans="1:8">
      <c r="A37" s="4">
        <v>286014</v>
      </c>
      <c r="B37" s="4" t="s">
        <v>229</v>
      </c>
      <c r="C37" s="4" t="s">
        <v>223</v>
      </c>
      <c r="D37" s="4" t="s">
        <v>230</v>
      </c>
      <c r="E37" s="4" t="s">
        <v>225</v>
      </c>
      <c r="F37" s="4" t="s">
        <v>221</v>
      </c>
      <c r="G37" s="10" t="s">
        <v>210</v>
      </c>
      <c r="H37" s="4" t="s">
        <v>28</v>
      </c>
    </row>
    <row r="38" spans="1:8">
      <c r="A38" s="4">
        <v>286014</v>
      </c>
      <c r="B38" s="4" t="s">
        <v>229</v>
      </c>
      <c r="C38" s="4" t="s">
        <v>223</v>
      </c>
      <c r="D38" s="4" t="s">
        <v>230</v>
      </c>
      <c r="E38" s="4" t="s">
        <v>225</v>
      </c>
      <c r="F38" s="4" t="s">
        <v>221</v>
      </c>
      <c r="G38" s="10" t="s">
        <v>211</v>
      </c>
      <c r="H38" s="4" t="s">
        <v>203</v>
      </c>
    </row>
    <row r="39" spans="1:8">
      <c r="A39" s="4">
        <v>286014</v>
      </c>
      <c r="B39" s="4" t="s">
        <v>229</v>
      </c>
      <c r="C39" s="4" t="s">
        <v>223</v>
      </c>
      <c r="D39" s="4" t="s">
        <v>230</v>
      </c>
      <c r="E39" s="4" t="s">
        <v>225</v>
      </c>
      <c r="F39" s="4" t="s">
        <v>221</v>
      </c>
      <c r="G39" s="10" t="s">
        <v>10</v>
      </c>
      <c r="H39" s="4" t="s">
        <v>203</v>
      </c>
    </row>
    <row r="40" spans="1:8">
      <c r="A40" s="4">
        <v>285179</v>
      </c>
      <c r="B40" s="4" t="s">
        <v>231</v>
      </c>
      <c r="C40" s="4" t="s">
        <v>223</v>
      </c>
      <c r="D40" s="4" t="s">
        <v>232</v>
      </c>
      <c r="E40" s="4" t="s">
        <v>225</v>
      </c>
      <c r="F40" s="4" t="s">
        <v>221</v>
      </c>
      <c r="G40" s="10" t="s">
        <v>8</v>
      </c>
      <c r="H40" s="4" t="s">
        <v>28</v>
      </c>
    </row>
    <row r="41" spans="1:8">
      <c r="A41" s="4">
        <v>285179</v>
      </c>
      <c r="B41" s="4" t="s">
        <v>231</v>
      </c>
      <c r="C41" s="4" t="s">
        <v>223</v>
      </c>
      <c r="D41" s="4" t="s">
        <v>232</v>
      </c>
      <c r="E41" s="4" t="s">
        <v>225</v>
      </c>
      <c r="F41" s="4" t="s">
        <v>221</v>
      </c>
      <c r="G41" s="10" t="s">
        <v>11</v>
      </c>
      <c r="H41" s="4" t="s">
        <v>203</v>
      </c>
    </row>
    <row r="42" spans="1:8">
      <c r="A42" s="4">
        <v>243145</v>
      </c>
      <c r="B42" s="4" t="s">
        <v>233</v>
      </c>
      <c r="C42" s="4" t="s">
        <v>223</v>
      </c>
      <c r="D42" s="4" t="s">
        <v>234</v>
      </c>
      <c r="E42" s="4" t="s">
        <v>235</v>
      </c>
      <c r="F42" s="4" t="s">
        <v>221</v>
      </c>
      <c r="G42" s="10" t="s">
        <v>205</v>
      </c>
      <c r="H42" s="4" t="s">
        <v>28</v>
      </c>
    </row>
    <row r="43" spans="1:8">
      <c r="A43" s="4">
        <v>243145</v>
      </c>
      <c r="B43" s="4" t="s">
        <v>233</v>
      </c>
      <c r="C43" s="4" t="s">
        <v>223</v>
      </c>
      <c r="D43" s="4" t="s">
        <v>234</v>
      </c>
      <c r="E43" s="4" t="s">
        <v>235</v>
      </c>
      <c r="F43" s="4" t="s">
        <v>221</v>
      </c>
      <c r="G43" s="10" t="s">
        <v>8</v>
      </c>
      <c r="H43" s="4" t="s">
        <v>203</v>
      </c>
    </row>
    <row r="44" spans="1:8">
      <c r="A44" s="4">
        <v>243145</v>
      </c>
      <c r="B44" s="4" t="s">
        <v>233</v>
      </c>
      <c r="C44" s="4" t="s">
        <v>223</v>
      </c>
      <c r="D44" s="4" t="s">
        <v>234</v>
      </c>
      <c r="E44" s="4" t="s">
        <v>235</v>
      </c>
      <c r="F44" s="4" t="s">
        <v>221</v>
      </c>
      <c r="G44" s="10" t="s">
        <v>11</v>
      </c>
      <c r="H44" s="4" t="s">
        <v>28</v>
      </c>
    </row>
    <row r="45" spans="1:8">
      <c r="A45" s="4">
        <v>243145</v>
      </c>
      <c r="B45" s="4" t="s">
        <v>233</v>
      </c>
      <c r="C45" s="4" t="s">
        <v>223</v>
      </c>
      <c r="D45" s="4" t="s">
        <v>234</v>
      </c>
      <c r="E45" s="4" t="s">
        <v>235</v>
      </c>
      <c r="F45" s="4" t="s">
        <v>221</v>
      </c>
      <c r="G45" s="10" t="s">
        <v>208</v>
      </c>
      <c r="H45" s="4" t="s">
        <v>203</v>
      </c>
    </row>
    <row r="46" spans="1:8">
      <c r="A46" s="4">
        <v>243145</v>
      </c>
      <c r="B46" s="4" t="s">
        <v>233</v>
      </c>
      <c r="C46" s="4" t="s">
        <v>223</v>
      </c>
      <c r="D46" s="4" t="s">
        <v>234</v>
      </c>
      <c r="E46" s="4" t="s">
        <v>235</v>
      </c>
      <c r="F46" s="4" t="s">
        <v>221</v>
      </c>
      <c r="G46" s="10" t="s">
        <v>10</v>
      </c>
      <c r="H46" s="4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Ibex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Marin, Edwin</dc:creator>
  <cp:keywords/>
  <dc:description/>
  <cp:lastModifiedBy>Palma, Oscar</cp:lastModifiedBy>
  <cp:revision/>
  <dcterms:created xsi:type="dcterms:W3CDTF">2022-06-15T21:51:38Z</dcterms:created>
  <dcterms:modified xsi:type="dcterms:W3CDTF">2025-10-21T20:21:23Z</dcterms:modified>
  <cp:category/>
  <cp:contentStatus/>
</cp:coreProperties>
</file>